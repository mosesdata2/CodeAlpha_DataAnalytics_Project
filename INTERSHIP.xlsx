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slicers/slicer1.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User\OneDrive\Desktop\"/>
    </mc:Choice>
  </mc:AlternateContent>
  <bookViews>
    <workbookView xWindow="0" yWindow="0" windowWidth="19200" windowHeight="7740" activeTab="4"/>
  </bookViews>
  <sheets>
    <sheet name="Data" sheetId="5" r:id="rId1"/>
    <sheet name="Chart" sheetId="1" r:id="rId2"/>
    <sheet name="chart_1" sheetId="2" state="hidden" r:id="rId3"/>
    <sheet name=" Dashbo" sheetId="3" state="hidden" r:id="rId4"/>
    <sheet name="Dashboard " sheetId="4" r:id="rId5"/>
  </sheets>
  <definedNames>
    <definedName name="Slicer_crop_type">#N/A</definedName>
    <definedName name="Slicer_Harvest_month">#N/A</definedName>
    <definedName name="Slicer_region">#N/A</definedName>
  </definedNames>
  <calcPr calcId="152511"/>
  <pivotCaches>
    <pivotCache cacheId="0" r:id="rId6"/>
    <pivotCache cacheId="1" r:id="rId7"/>
    <pivotCache cacheId="2" r:id="rId8"/>
    <pivotCache cacheId="3" r:id="rId9"/>
    <pivotCache cacheId="4" r:id="rId10"/>
    <pivotCache cacheId="5" r:id="rId11"/>
    <pivotCache cacheId="6" r:id="rId12"/>
    <pivotCache cacheId="7"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 i="5" l="1"/>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alcChain>
</file>

<file path=xl/sharedStrings.xml><?xml version="1.0" encoding="utf-8"?>
<sst xmlns="http://schemas.openxmlformats.org/spreadsheetml/2006/main" count="4620" uniqueCount="1072">
  <si>
    <t>region</t>
  </si>
  <si>
    <t>Central USA</t>
  </si>
  <si>
    <t>East Africa</t>
  </si>
  <si>
    <t>North India</t>
  </si>
  <si>
    <t>South India</t>
  </si>
  <si>
    <t>South USA</t>
  </si>
  <si>
    <t>Row Labels</t>
  </si>
  <si>
    <t>Grand Total</t>
  </si>
  <si>
    <t>Sum of total_yield</t>
  </si>
  <si>
    <t>crop_type</t>
  </si>
  <si>
    <t>Rice</t>
  </si>
  <si>
    <t>Cotton</t>
  </si>
  <si>
    <t>Soybean</t>
  </si>
  <si>
    <t>Wheat</t>
  </si>
  <si>
    <t>Maize</t>
  </si>
  <si>
    <t>(All)</t>
  </si>
  <si>
    <t>fertilizer_type</t>
  </si>
  <si>
    <t>Mixed</t>
  </si>
  <si>
    <t>Organic</t>
  </si>
  <si>
    <t>Inorganic</t>
  </si>
  <si>
    <t>Sum of avg_yield</t>
  </si>
  <si>
    <t xml:space="preserve">January  </t>
  </si>
  <si>
    <t xml:space="preserve">February </t>
  </si>
  <si>
    <t xml:space="preserve">March    </t>
  </si>
  <si>
    <t xml:space="preserve">April    </t>
  </si>
  <si>
    <t xml:space="preserve">May      </t>
  </si>
  <si>
    <t xml:space="preserve">June     </t>
  </si>
  <si>
    <t xml:space="preserve">July     </t>
  </si>
  <si>
    <t xml:space="preserve">August   </t>
  </si>
  <si>
    <t>crop_disease_status</t>
  </si>
  <si>
    <t>Mild</t>
  </si>
  <si>
    <t>Moderate</t>
  </si>
  <si>
    <t>None</t>
  </si>
  <si>
    <t>Severe</t>
  </si>
  <si>
    <t>April</t>
  </si>
  <si>
    <t>May</t>
  </si>
  <si>
    <t>June</t>
  </si>
  <si>
    <t>July</t>
  </si>
  <si>
    <t>August</t>
  </si>
  <si>
    <t>farm_id</t>
  </si>
  <si>
    <t>soil_moisture_percent</t>
  </si>
  <si>
    <t>soil_ph</t>
  </si>
  <si>
    <t>temperature_c</t>
  </si>
  <si>
    <t>rainfall_mm</t>
  </si>
  <si>
    <t>humidity_percent</t>
  </si>
  <si>
    <t>sunlight_hour</t>
  </si>
  <si>
    <t>irrigation_type</t>
  </si>
  <si>
    <t>pesticide_usage_ml</t>
  </si>
  <si>
    <t>sowing_date</t>
  </si>
  <si>
    <t>harvest_date</t>
  </si>
  <si>
    <t>total_days</t>
  </si>
  <si>
    <t>yield_kg_per_hectare</t>
  </si>
  <si>
    <t>sensor_id</t>
  </si>
  <si>
    <t>timestamp</t>
  </si>
  <si>
    <t>latitude</t>
  </si>
  <si>
    <t>longitude</t>
  </si>
  <si>
    <t>ndvi_index</t>
  </si>
  <si>
    <t>growth_days</t>
  </si>
  <si>
    <t>yield_category</t>
  </si>
  <si>
    <t>pesticide_category</t>
  </si>
  <si>
    <t>FARM0001</t>
  </si>
  <si>
    <t>SENS0001</t>
  </si>
  <si>
    <t>Medium</t>
  </si>
  <si>
    <t>Low Usage</t>
  </si>
  <si>
    <t>FARM0002</t>
  </si>
  <si>
    <t>Sprinkler</t>
  </si>
  <si>
    <t>SENS0002</t>
  </si>
  <si>
    <t>High</t>
  </si>
  <si>
    <t>FARM0003</t>
  </si>
  <si>
    <t>Drip</t>
  </si>
  <si>
    <t>SENS0003</t>
  </si>
  <si>
    <t>Low</t>
  </si>
  <si>
    <t>Medium Usage</t>
  </si>
  <si>
    <t>FARM0004</t>
  </si>
  <si>
    <t>SENS0004</t>
  </si>
  <si>
    <t>FARM0005</t>
  </si>
  <si>
    <t>SENS0005</t>
  </si>
  <si>
    <t>FARM0006</t>
  </si>
  <si>
    <t>SENS0006</t>
  </si>
  <si>
    <t>FARM0007</t>
  </si>
  <si>
    <t>Manual</t>
  </si>
  <si>
    <t>SENS0007</t>
  </si>
  <si>
    <t>High Usage</t>
  </si>
  <si>
    <t>FARM0008</t>
  </si>
  <si>
    <t>SENS0008</t>
  </si>
  <si>
    <t>FARM0009</t>
  </si>
  <si>
    <t>SENS0009</t>
  </si>
  <si>
    <t>FARM0010</t>
  </si>
  <si>
    <t>SENS0010</t>
  </si>
  <si>
    <t>FARM0011</t>
  </si>
  <si>
    <t>SENS0011</t>
  </si>
  <si>
    <t>FARM0012</t>
  </si>
  <si>
    <t>SENS0012</t>
  </si>
  <si>
    <t>FARM0013</t>
  </si>
  <si>
    <t>SENS0013</t>
  </si>
  <si>
    <t>FARM0014</t>
  </si>
  <si>
    <t>SENS0014</t>
  </si>
  <si>
    <t>FARM0015</t>
  </si>
  <si>
    <t>SENS0015</t>
  </si>
  <si>
    <t>FARM0016</t>
  </si>
  <si>
    <t>SENS0016</t>
  </si>
  <si>
    <t>FARM0017</t>
  </si>
  <si>
    <t>SENS0017</t>
  </si>
  <si>
    <t>FARM0018</t>
  </si>
  <si>
    <t>SENS0018</t>
  </si>
  <si>
    <t>FARM0019</t>
  </si>
  <si>
    <t>SENS0019</t>
  </si>
  <si>
    <t>FARM0020</t>
  </si>
  <si>
    <t>SENS0020</t>
  </si>
  <si>
    <t>FARM0021</t>
  </si>
  <si>
    <t>SENS0021</t>
  </si>
  <si>
    <t>FARM0022</t>
  </si>
  <si>
    <t>SENS0022</t>
  </si>
  <si>
    <t>FARM0023</t>
  </si>
  <si>
    <t>SENS0023</t>
  </si>
  <si>
    <t>FARM0024</t>
  </si>
  <si>
    <t>SENS0024</t>
  </si>
  <si>
    <t>FARM0025</t>
  </si>
  <si>
    <t>SENS0025</t>
  </si>
  <si>
    <t>FARM0026</t>
  </si>
  <si>
    <t>SENS0026</t>
  </si>
  <si>
    <t>FARM0027</t>
  </si>
  <si>
    <t>SENS0027</t>
  </si>
  <si>
    <t>FARM0028</t>
  </si>
  <si>
    <t>SENS0028</t>
  </si>
  <si>
    <t>FARM0029</t>
  </si>
  <si>
    <t>SENS0029</t>
  </si>
  <si>
    <t>FARM0030</t>
  </si>
  <si>
    <t>SENS0030</t>
  </si>
  <si>
    <t>FARM0031</t>
  </si>
  <si>
    <t>SENS0031</t>
  </si>
  <si>
    <t>FARM0032</t>
  </si>
  <si>
    <t>SENS0032</t>
  </si>
  <si>
    <t>FARM0033</t>
  </si>
  <si>
    <t>SENS0033</t>
  </si>
  <si>
    <t>FARM0034</t>
  </si>
  <si>
    <t>SENS0034</t>
  </si>
  <si>
    <t>FARM0035</t>
  </si>
  <si>
    <t>SENS0035</t>
  </si>
  <si>
    <t>FARM0036</t>
  </si>
  <si>
    <t>SENS0036</t>
  </si>
  <si>
    <t>FARM0037</t>
  </si>
  <si>
    <t>SENS0037</t>
  </si>
  <si>
    <t>FARM0038</t>
  </si>
  <si>
    <t>SENS0038</t>
  </si>
  <si>
    <t>FARM0039</t>
  </si>
  <si>
    <t>SENS0039</t>
  </si>
  <si>
    <t>FARM0040</t>
  </si>
  <si>
    <t>SENS0040</t>
  </si>
  <si>
    <t>FARM0041</t>
  </si>
  <si>
    <t>SENS0041</t>
  </si>
  <si>
    <t>FARM0042</t>
  </si>
  <si>
    <t>SENS0042</t>
  </si>
  <si>
    <t>FARM0043</t>
  </si>
  <si>
    <t>SENS0043</t>
  </si>
  <si>
    <t>FARM0044</t>
  </si>
  <si>
    <t>SENS0044</t>
  </si>
  <si>
    <t>FARM0045</t>
  </si>
  <si>
    <t>SENS0045</t>
  </si>
  <si>
    <t>FARM0046</t>
  </si>
  <si>
    <t>SENS0046</t>
  </si>
  <si>
    <t>FARM0047</t>
  </si>
  <si>
    <t>SENS0047</t>
  </si>
  <si>
    <t>FARM0048</t>
  </si>
  <si>
    <t>SENS0048</t>
  </si>
  <si>
    <t>FARM0049</t>
  </si>
  <si>
    <t>SENS0049</t>
  </si>
  <si>
    <t>FARM0050</t>
  </si>
  <si>
    <t>SENS0050</t>
  </si>
  <si>
    <t>FARM0051</t>
  </si>
  <si>
    <t>SENS0051</t>
  </si>
  <si>
    <t>FARM0052</t>
  </si>
  <si>
    <t>SENS0052</t>
  </si>
  <si>
    <t>FARM0053</t>
  </si>
  <si>
    <t>SENS0053</t>
  </si>
  <si>
    <t>FARM0054</t>
  </si>
  <si>
    <t>SENS0054</t>
  </si>
  <si>
    <t>FARM0055</t>
  </si>
  <si>
    <t>SENS0055</t>
  </si>
  <si>
    <t>FARM0056</t>
  </si>
  <si>
    <t>SENS0056</t>
  </si>
  <si>
    <t>FARM0057</t>
  </si>
  <si>
    <t>SENS0057</t>
  </si>
  <si>
    <t>FARM0058</t>
  </si>
  <si>
    <t>SENS0058</t>
  </si>
  <si>
    <t>FARM0059</t>
  </si>
  <si>
    <t>SENS0059</t>
  </si>
  <si>
    <t>FARM0060</t>
  </si>
  <si>
    <t>SENS0060</t>
  </si>
  <si>
    <t>FARM0061</t>
  </si>
  <si>
    <t>SENS0061</t>
  </si>
  <si>
    <t>FARM0062</t>
  </si>
  <si>
    <t>SENS0062</t>
  </si>
  <si>
    <t>FARM0063</t>
  </si>
  <si>
    <t>SENS0063</t>
  </si>
  <si>
    <t>FARM0064</t>
  </si>
  <si>
    <t>SENS0064</t>
  </si>
  <si>
    <t>FARM0065</t>
  </si>
  <si>
    <t>SENS0065</t>
  </si>
  <si>
    <t>FARM0066</t>
  </si>
  <si>
    <t>SENS0066</t>
  </si>
  <si>
    <t>FARM0067</t>
  </si>
  <si>
    <t>SENS0067</t>
  </si>
  <si>
    <t>FARM0068</t>
  </si>
  <si>
    <t>SENS0068</t>
  </si>
  <si>
    <t>FARM0069</t>
  </si>
  <si>
    <t>SENS0069</t>
  </si>
  <si>
    <t>FARM0070</t>
  </si>
  <si>
    <t>SENS0070</t>
  </si>
  <si>
    <t>FARM0071</t>
  </si>
  <si>
    <t>SENS0071</t>
  </si>
  <si>
    <t>FARM0072</t>
  </si>
  <si>
    <t>SENS0072</t>
  </si>
  <si>
    <t>FARM0073</t>
  </si>
  <si>
    <t>SENS0073</t>
  </si>
  <si>
    <t>FARM0074</t>
  </si>
  <si>
    <t>SENS0074</t>
  </si>
  <si>
    <t>FARM0075</t>
  </si>
  <si>
    <t>SENS0075</t>
  </si>
  <si>
    <t>FARM0076</t>
  </si>
  <si>
    <t>SENS0076</t>
  </si>
  <si>
    <t>FARM0077</t>
  </si>
  <si>
    <t>SENS0077</t>
  </si>
  <si>
    <t>FARM0078</t>
  </si>
  <si>
    <t>SENS0078</t>
  </si>
  <si>
    <t>FARM0079</t>
  </si>
  <si>
    <t>SENS0079</t>
  </si>
  <si>
    <t>FARM0080</t>
  </si>
  <si>
    <t>SENS0080</t>
  </si>
  <si>
    <t>FARM0081</t>
  </si>
  <si>
    <t>SENS0081</t>
  </si>
  <si>
    <t>FARM0082</t>
  </si>
  <si>
    <t>SENS0082</t>
  </si>
  <si>
    <t>FARM0083</t>
  </si>
  <si>
    <t>SENS0083</t>
  </si>
  <si>
    <t>FARM0084</t>
  </si>
  <si>
    <t>SENS0084</t>
  </si>
  <si>
    <t>FARM0085</t>
  </si>
  <si>
    <t>SENS0085</t>
  </si>
  <si>
    <t>FARM0086</t>
  </si>
  <si>
    <t>SENS0086</t>
  </si>
  <si>
    <t>FARM0087</t>
  </si>
  <si>
    <t>SENS0087</t>
  </si>
  <si>
    <t>FARM0088</t>
  </si>
  <si>
    <t>SENS0088</t>
  </si>
  <si>
    <t>FARM0089</t>
  </si>
  <si>
    <t>SENS0089</t>
  </si>
  <si>
    <t>FARM0090</t>
  </si>
  <si>
    <t>SENS0090</t>
  </si>
  <si>
    <t>FARM0091</t>
  </si>
  <si>
    <t>SENS0091</t>
  </si>
  <si>
    <t>FARM0092</t>
  </si>
  <si>
    <t>SENS0092</t>
  </si>
  <si>
    <t>FARM0093</t>
  </si>
  <si>
    <t>SENS0093</t>
  </si>
  <si>
    <t>FARM0094</t>
  </si>
  <si>
    <t>SENS0094</t>
  </si>
  <si>
    <t>FARM0095</t>
  </si>
  <si>
    <t>SENS0095</t>
  </si>
  <si>
    <t>FARM0096</t>
  </si>
  <si>
    <t>SENS0096</t>
  </si>
  <si>
    <t>FARM0097</t>
  </si>
  <si>
    <t>SENS0097</t>
  </si>
  <si>
    <t>FARM0098</t>
  </si>
  <si>
    <t>SENS0098</t>
  </si>
  <si>
    <t>FARM0099</t>
  </si>
  <si>
    <t>SENS0099</t>
  </si>
  <si>
    <t>FARM0100</t>
  </si>
  <si>
    <t>SENS0100</t>
  </si>
  <si>
    <t>FARM0101</t>
  </si>
  <si>
    <t>SENS0101</t>
  </si>
  <si>
    <t>FARM0102</t>
  </si>
  <si>
    <t>SENS0102</t>
  </si>
  <si>
    <t>FARM0103</t>
  </si>
  <si>
    <t>SENS0103</t>
  </si>
  <si>
    <t>FARM0104</t>
  </si>
  <si>
    <t>SENS0104</t>
  </si>
  <si>
    <t>FARM0105</t>
  </si>
  <si>
    <t>SENS0105</t>
  </si>
  <si>
    <t>FARM0106</t>
  </si>
  <si>
    <t>SENS0106</t>
  </si>
  <si>
    <t>FARM0107</t>
  </si>
  <si>
    <t>SENS0107</t>
  </si>
  <si>
    <t>FARM0108</t>
  </si>
  <si>
    <t>SENS0108</t>
  </si>
  <si>
    <t>FARM0109</t>
  </si>
  <si>
    <t>SENS0109</t>
  </si>
  <si>
    <t>FARM0110</t>
  </si>
  <si>
    <t>SENS0110</t>
  </si>
  <si>
    <t>FARM0111</t>
  </si>
  <si>
    <t>SENS0111</t>
  </si>
  <si>
    <t>FARM0112</t>
  </si>
  <si>
    <t>SENS0112</t>
  </si>
  <si>
    <t>FARM0113</t>
  </si>
  <si>
    <t>SENS0113</t>
  </si>
  <si>
    <t>FARM0114</t>
  </si>
  <si>
    <t>SENS0114</t>
  </si>
  <si>
    <t>FARM0115</t>
  </si>
  <si>
    <t>SENS0115</t>
  </si>
  <si>
    <t>FARM0116</t>
  </si>
  <si>
    <t>SENS0116</t>
  </si>
  <si>
    <t>FARM0117</t>
  </si>
  <si>
    <t>SENS0117</t>
  </si>
  <si>
    <t>FARM0118</t>
  </si>
  <si>
    <t>SENS0118</t>
  </si>
  <si>
    <t>FARM0119</t>
  </si>
  <si>
    <t>SENS0119</t>
  </si>
  <si>
    <t>FARM0120</t>
  </si>
  <si>
    <t>SENS0120</t>
  </si>
  <si>
    <t>FARM0121</t>
  </si>
  <si>
    <t>SENS0121</t>
  </si>
  <si>
    <t>FARM0122</t>
  </si>
  <si>
    <t>SENS0122</t>
  </si>
  <si>
    <t>FARM0123</t>
  </si>
  <si>
    <t>SENS0123</t>
  </si>
  <si>
    <t>FARM0124</t>
  </si>
  <si>
    <t>SENS0124</t>
  </si>
  <si>
    <t>FARM0125</t>
  </si>
  <si>
    <t>SENS0125</t>
  </si>
  <si>
    <t>FARM0126</t>
  </si>
  <si>
    <t>SENS0126</t>
  </si>
  <si>
    <t>FARM0127</t>
  </si>
  <si>
    <t>SENS0127</t>
  </si>
  <si>
    <t>FARM0128</t>
  </si>
  <si>
    <t>SENS0128</t>
  </si>
  <si>
    <t>FARM0129</t>
  </si>
  <si>
    <t>SENS0129</t>
  </si>
  <si>
    <t>FARM0130</t>
  </si>
  <si>
    <t>SENS0130</t>
  </si>
  <si>
    <t>FARM0131</t>
  </si>
  <si>
    <t>SENS0131</t>
  </si>
  <si>
    <t>FARM0132</t>
  </si>
  <si>
    <t>SENS0132</t>
  </si>
  <si>
    <t>FARM0133</t>
  </si>
  <si>
    <t>SENS0133</t>
  </si>
  <si>
    <t>FARM0134</t>
  </si>
  <si>
    <t>SENS0134</t>
  </si>
  <si>
    <t>FARM0135</t>
  </si>
  <si>
    <t>SENS0135</t>
  </si>
  <si>
    <t>FARM0136</t>
  </si>
  <si>
    <t>SENS0136</t>
  </si>
  <si>
    <t>FARM0137</t>
  </si>
  <si>
    <t>SENS0137</t>
  </si>
  <si>
    <t>FARM0138</t>
  </si>
  <si>
    <t>SENS0138</t>
  </si>
  <si>
    <t>FARM0139</t>
  </si>
  <si>
    <t>SENS0139</t>
  </si>
  <si>
    <t>FARM0140</t>
  </si>
  <si>
    <t>SENS0140</t>
  </si>
  <si>
    <t>FARM0141</t>
  </si>
  <si>
    <t>SENS0141</t>
  </si>
  <si>
    <t>FARM0142</t>
  </si>
  <si>
    <t>SENS0142</t>
  </si>
  <si>
    <t>FARM0143</t>
  </si>
  <si>
    <t>SENS0143</t>
  </si>
  <si>
    <t>FARM0144</t>
  </si>
  <si>
    <t>SENS0144</t>
  </si>
  <si>
    <t>FARM0145</t>
  </si>
  <si>
    <t>SENS0145</t>
  </si>
  <si>
    <t>FARM0146</t>
  </si>
  <si>
    <t>SENS0146</t>
  </si>
  <si>
    <t>FARM0147</t>
  </si>
  <si>
    <t>SENS0147</t>
  </si>
  <si>
    <t>FARM0148</t>
  </si>
  <si>
    <t>SENS0148</t>
  </si>
  <si>
    <t>FARM0149</t>
  </si>
  <si>
    <t>SENS0149</t>
  </si>
  <si>
    <t>FARM0150</t>
  </si>
  <si>
    <t>SENS0150</t>
  </si>
  <si>
    <t>FARM0151</t>
  </si>
  <si>
    <t>SENS0151</t>
  </si>
  <si>
    <t>FARM0152</t>
  </si>
  <si>
    <t>SENS0152</t>
  </si>
  <si>
    <t>FARM0153</t>
  </si>
  <si>
    <t>SENS0153</t>
  </si>
  <si>
    <t>FARM0154</t>
  </si>
  <si>
    <t>SENS0154</t>
  </si>
  <si>
    <t>FARM0155</t>
  </si>
  <si>
    <t>SENS0155</t>
  </si>
  <si>
    <t>FARM0156</t>
  </si>
  <si>
    <t>SENS0156</t>
  </si>
  <si>
    <t>FARM0157</t>
  </si>
  <si>
    <t>SENS0157</t>
  </si>
  <si>
    <t>FARM0158</t>
  </si>
  <si>
    <t>SENS0158</t>
  </si>
  <si>
    <t>FARM0159</t>
  </si>
  <si>
    <t>SENS0159</t>
  </si>
  <si>
    <t>FARM0160</t>
  </si>
  <si>
    <t>SENS0160</t>
  </si>
  <si>
    <t>FARM0161</t>
  </si>
  <si>
    <t>SENS0161</t>
  </si>
  <si>
    <t>FARM0162</t>
  </si>
  <si>
    <t>SENS0162</t>
  </si>
  <si>
    <t>FARM0163</t>
  </si>
  <si>
    <t>SENS0163</t>
  </si>
  <si>
    <t>FARM0164</t>
  </si>
  <si>
    <t>SENS0164</t>
  </si>
  <si>
    <t>FARM0165</t>
  </si>
  <si>
    <t>SENS0165</t>
  </si>
  <si>
    <t>FARM0166</t>
  </si>
  <si>
    <t>SENS0166</t>
  </si>
  <si>
    <t>FARM0167</t>
  </si>
  <si>
    <t>SENS0167</t>
  </si>
  <si>
    <t>FARM0168</t>
  </si>
  <si>
    <t>SENS0168</t>
  </si>
  <si>
    <t>FARM0169</t>
  </si>
  <si>
    <t>SENS0169</t>
  </si>
  <si>
    <t>FARM0170</t>
  </si>
  <si>
    <t>SENS0170</t>
  </si>
  <si>
    <t>FARM0171</t>
  </si>
  <si>
    <t>SENS0171</t>
  </si>
  <si>
    <t>FARM0172</t>
  </si>
  <si>
    <t>SENS0172</t>
  </si>
  <si>
    <t>FARM0173</t>
  </si>
  <si>
    <t>SENS0173</t>
  </si>
  <si>
    <t>FARM0174</t>
  </si>
  <si>
    <t>SENS0174</t>
  </si>
  <si>
    <t>FARM0175</t>
  </si>
  <si>
    <t>SENS0175</t>
  </si>
  <si>
    <t>FARM0176</t>
  </si>
  <si>
    <t>SENS0176</t>
  </si>
  <si>
    <t>FARM0177</t>
  </si>
  <si>
    <t>SENS0177</t>
  </si>
  <si>
    <t>FARM0178</t>
  </si>
  <si>
    <t>SENS0178</t>
  </si>
  <si>
    <t>FARM0179</t>
  </si>
  <si>
    <t>SENS0179</t>
  </si>
  <si>
    <t>FARM0180</t>
  </si>
  <si>
    <t>SENS0180</t>
  </si>
  <si>
    <t>FARM0181</t>
  </si>
  <si>
    <t>SENS0181</t>
  </si>
  <si>
    <t>FARM0182</t>
  </si>
  <si>
    <t>SENS0182</t>
  </si>
  <si>
    <t>FARM0183</t>
  </si>
  <si>
    <t>SENS0183</t>
  </si>
  <si>
    <t>FARM0184</t>
  </si>
  <si>
    <t>SENS0184</t>
  </si>
  <si>
    <t>FARM0185</t>
  </si>
  <si>
    <t>SENS0185</t>
  </si>
  <si>
    <t>FARM0186</t>
  </si>
  <si>
    <t>SENS0186</t>
  </si>
  <si>
    <t>FARM0187</t>
  </si>
  <si>
    <t>SENS0187</t>
  </si>
  <si>
    <t>FARM0188</t>
  </si>
  <si>
    <t>SENS0188</t>
  </si>
  <si>
    <t>FARM0189</t>
  </si>
  <si>
    <t>SENS0189</t>
  </si>
  <si>
    <t>FARM0190</t>
  </si>
  <si>
    <t>SENS0190</t>
  </si>
  <si>
    <t>FARM0191</t>
  </si>
  <si>
    <t>SENS0191</t>
  </si>
  <si>
    <t>FARM0192</t>
  </si>
  <si>
    <t>SENS0192</t>
  </si>
  <si>
    <t>FARM0193</t>
  </si>
  <si>
    <t>SENS0193</t>
  </si>
  <si>
    <t>FARM0194</t>
  </si>
  <si>
    <t>SENS0194</t>
  </si>
  <si>
    <t>FARM0195</t>
  </si>
  <si>
    <t>SENS0195</t>
  </si>
  <si>
    <t>FARM0196</t>
  </si>
  <si>
    <t>SENS0196</t>
  </si>
  <si>
    <t>FARM0197</t>
  </si>
  <si>
    <t>SENS0197</t>
  </si>
  <si>
    <t>FARM0198</t>
  </si>
  <si>
    <t>SENS0198</t>
  </si>
  <si>
    <t>FARM0199</t>
  </si>
  <si>
    <t>SENS0199</t>
  </si>
  <si>
    <t>FARM0200</t>
  </si>
  <si>
    <t>SENS0200</t>
  </si>
  <si>
    <t>FARM0201</t>
  </si>
  <si>
    <t>SENS0201</t>
  </si>
  <si>
    <t>FARM0202</t>
  </si>
  <si>
    <t>SENS0202</t>
  </si>
  <si>
    <t>FARM0203</t>
  </si>
  <si>
    <t>SENS0203</t>
  </si>
  <si>
    <t>FARM0204</t>
  </si>
  <si>
    <t>SENS0204</t>
  </si>
  <si>
    <t>FARM0205</t>
  </si>
  <si>
    <t>SENS0205</t>
  </si>
  <si>
    <t>FARM0206</t>
  </si>
  <si>
    <t>SENS0206</t>
  </si>
  <si>
    <t>FARM0207</t>
  </si>
  <si>
    <t>SENS0207</t>
  </si>
  <si>
    <t>FARM0208</t>
  </si>
  <si>
    <t>SENS0208</t>
  </si>
  <si>
    <t>FARM0209</t>
  </si>
  <si>
    <t>SENS0209</t>
  </si>
  <si>
    <t>FARM0210</t>
  </si>
  <si>
    <t>SENS0210</t>
  </si>
  <si>
    <t>FARM0211</t>
  </si>
  <si>
    <t>SENS0211</t>
  </si>
  <si>
    <t>FARM0212</t>
  </si>
  <si>
    <t>SENS0212</t>
  </si>
  <si>
    <t>FARM0213</t>
  </si>
  <si>
    <t>SENS0213</t>
  </si>
  <si>
    <t>FARM0214</t>
  </si>
  <si>
    <t>SENS0214</t>
  </si>
  <si>
    <t>FARM0215</t>
  </si>
  <si>
    <t>SENS0215</t>
  </si>
  <si>
    <t>FARM0216</t>
  </si>
  <si>
    <t>SENS0216</t>
  </si>
  <si>
    <t>FARM0217</t>
  </si>
  <si>
    <t>SENS0217</t>
  </si>
  <si>
    <t>FARM0218</t>
  </si>
  <si>
    <t>SENS0218</t>
  </si>
  <si>
    <t>FARM0219</t>
  </si>
  <si>
    <t>SENS0219</t>
  </si>
  <si>
    <t>FARM0220</t>
  </si>
  <si>
    <t>SENS0220</t>
  </si>
  <si>
    <t>FARM0221</t>
  </si>
  <si>
    <t>SENS0221</t>
  </si>
  <si>
    <t>FARM0222</t>
  </si>
  <si>
    <t>SENS0222</t>
  </si>
  <si>
    <t>FARM0223</t>
  </si>
  <si>
    <t>SENS0223</t>
  </si>
  <si>
    <t>FARM0224</t>
  </si>
  <si>
    <t>SENS0224</t>
  </si>
  <si>
    <t>FARM0225</t>
  </si>
  <si>
    <t>SENS0225</t>
  </si>
  <si>
    <t>FARM0226</t>
  </si>
  <si>
    <t>SENS0226</t>
  </si>
  <si>
    <t>FARM0227</t>
  </si>
  <si>
    <t>SENS0227</t>
  </si>
  <si>
    <t>FARM0228</t>
  </si>
  <si>
    <t>SENS0228</t>
  </si>
  <si>
    <t>FARM0229</t>
  </si>
  <si>
    <t>SENS0229</t>
  </si>
  <si>
    <t>FARM0230</t>
  </si>
  <si>
    <t>SENS0230</t>
  </si>
  <si>
    <t>FARM0231</t>
  </si>
  <si>
    <t>SENS0231</t>
  </si>
  <si>
    <t>FARM0232</t>
  </si>
  <si>
    <t>SENS0232</t>
  </si>
  <si>
    <t>FARM0233</t>
  </si>
  <si>
    <t>SENS0233</t>
  </si>
  <si>
    <t>FARM0234</t>
  </si>
  <si>
    <t>SENS0234</t>
  </si>
  <si>
    <t>FARM0235</t>
  </si>
  <si>
    <t>SENS0235</t>
  </si>
  <si>
    <t>FARM0236</t>
  </si>
  <si>
    <t>SENS0236</t>
  </si>
  <si>
    <t>FARM0237</t>
  </si>
  <si>
    <t>SENS0237</t>
  </si>
  <si>
    <t>FARM0238</t>
  </si>
  <si>
    <t>SENS0238</t>
  </si>
  <si>
    <t>FARM0239</t>
  </si>
  <si>
    <t>SENS0239</t>
  </si>
  <si>
    <t>FARM0240</t>
  </si>
  <si>
    <t>SENS0240</t>
  </si>
  <si>
    <t>FARM0241</t>
  </si>
  <si>
    <t>SENS0241</t>
  </si>
  <si>
    <t>FARM0242</t>
  </si>
  <si>
    <t>SENS0242</t>
  </si>
  <si>
    <t>FARM0243</t>
  </si>
  <si>
    <t>SENS0243</t>
  </si>
  <si>
    <t>FARM0244</t>
  </si>
  <si>
    <t>SENS0244</t>
  </si>
  <si>
    <t>FARM0245</t>
  </si>
  <si>
    <t>SENS0245</t>
  </si>
  <si>
    <t>FARM0246</t>
  </si>
  <si>
    <t>SENS0246</t>
  </si>
  <si>
    <t>FARM0247</t>
  </si>
  <si>
    <t>SENS0247</t>
  </si>
  <si>
    <t>FARM0248</t>
  </si>
  <si>
    <t>SENS0248</t>
  </si>
  <si>
    <t>FARM0249</t>
  </si>
  <si>
    <t>SENS0249</t>
  </si>
  <si>
    <t>FARM0250</t>
  </si>
  <si>
    <t>SENS0250</t>
  </si>
  <si>
    <t>FARM0251</t>
  </si>
  <si>
    <t>SENS0251</t>
  </si>
  <si>
    <t>FARM0252</t>
  </si>
  <si>
    <t>SENS0252</t>
  </si>
  <si>
    <t>FARM0253</t>
  </si>
  <si>
    <t>SENS0253</t>
  </si>
  <si>
    <t>FARM0254</t>
  </si>
  <si>
    <t>SENS0254</t>
  </si>
  <si>
    <t>FARM0255</t>
  </si>
  <si>
    <t>SENS0255</t>
  </si>
  <si>
    <t>FARM0256</t>
  </si>
  <si>
    <t>SENS0256</t>
  </si>
  <si>
    <t>FARM0257</t>
  </si>
  <si>
    <t>SENS0257</t>
  </si>
  <si>
    <t>FARM0258</t>
  </si>
  <si>
    <t>SENS0258</t>
  </si>
  <si>
    <t>FARM0259</t>
  </si>
  <si>
    <t>SENS0259</t>
  </si>
  <si>
    <t>FARM0260</t>
  </si>
  <si>
    <t>SENS0260</t>
  </si>
  <si>
    <t>FARM0261</t>
  </si>
  <si>
    <t>SENS0261</t>
  </si>
  <si>
    <t>FARM0262</t>
  </si>
  <si>
    <t>SENS0262</t>
  </si>
  <si>
    <t>FARM0263</t>
  </si>
  <si>
    <t>SENS0263</t>
  </si>
  <si>
    <t>FARM0264</t>
  </si>
  <si>
    <t>SENS0264</t>
  </si>
  <si>
    <t>FARM0265</t>
  </si>
  <si>
    <t>SENS0265</t>
  </si>
  <si>
    <t>FARM0266</t>
  </si>
  <si>
    <t>SENS0266</t>
  </si>
  <si>
    <t>FARM0267</t>
  </si>
  <si>
    <t>SENS0267</t>
  </si>
  <si>
    <t>FARM0268</t>
  </si>
  <si>
    <t>SENS0268</t>
  </si>
  <si>
    <t>FARM0269</t>
  </si>
  <si>
    <t>SENS0269</t>
  </si>
  <si>
    <t>FARM0270</t>
  </si>
  <si>
    <t>SENS0270</t>
  </si>
  <si>
    <t>FARM0271</t>
  </si>
  <si>
    <t>SENS0271</t>
  </si>
  <si>
    <t>FARM0272</t>
  </si>
  <si>
    <t>SENS0272</t>
  </si>
  <si>
    <t>FARM0273</t>
  </si>
  <si>
    <t>SENS0273</t>
  </si>
  <si>
    <t>FARM0274</t>
  </si>
  <si>
    <t>SENS0274</t>
  </si>
  <si>
    <t>FARM0275</t>
  </si>
  <si>
    <t>SENS0275</t>
  </si>
  <si>
    <t>FARM0276</t>
  </si>
  <si>
    <t>SENS0276</t>
  </si>
  <si>
    <t>FARM0277</t>
  </si>
  <si>
    <t>SENS0277</t>
  </si>
  <si>
    <t>FARM0278</t>
  </si>
  <si>
    <t>SENS0278</t>
  </si>
  <si>
    <t>FARM0279</t>
  </si>
  <si>
    <t>SENS0279</t>
  </si>
  <si>
    <t>FARM0280</t>
  </si>
  <si>
    <t>SENS0280</t>
  </si>
  <si>
    <t>FARM0281</t>
  </si>
  <si>
    <t>SENS0281</t>
  </si>
  <si>
    <t>FARM0282</t>
  </si>
  <si>
    <t>SENS0282</t>
  </si>
  <si>
    <t>FARM0283</t>
  </si>
  <si>
    <t>SENS0283</t>
  </si>
  <si>
    <t>FARM0284</t>
  </si>
  <si>
    <t>SENS0284</t>
  </si>
  <si>
    <t>FARM0285</t>
  </si>
  <si>
    <t>SENS0285</t>
  </si>
  <si>
    <t>FARM0286</t>
  </si>
  <si>
    <t>SENS0286</t>
  </si>
  <si>
    <t>FARM0287</t>
  </si>
  <si>
    <t>SENS0287</t>
  </si>
  <si>
    <t>FARM0288</t>
  </si>
  <si>
    <t>SENS0288</t>
  </si>
  <si>
    <t>FARM0289</t>
  </si>
  <si>
    <t>SENS0289</t>
  </si>
  <si>
    <t>FARM0290</t>
  </si>
  <si>
    <t>SENS0290</t>
  </si>
  <si>
    <t>FARM0291</t>
  </si>
  <si>
    <t>SENS0291</t>
  </si>
  <si>
    <t>FARM0292</t>
  </si>
  <si>
    <t>SENS0292</t>
  </si>
  <si>
    <t>FARM0293</t>
  </si>
  <si>
    <t>SENS0293</t>
  </si>
  <si>
    <t>FARM0294</t>
  </si>
  <si>
    <t>SENS0294</t>
  </si>
  <si>
    <t>FARM0295</t>
  </si>
  <si>
    <t>SENS0295</t>
  </si>
  <si>
    <t>FARM0296</t>
  </si>
  <si>
    <t>SENS0296</t>
  </si>
  <si>
    <t>FARM0297</t>
  </si>
  <si>
    <t>SENS0297</t>
  </si>
  <si>
    <t>FARM0298</t>
  </si>
  <si>
    <t>SENS0298</t>
  </si>
  <si>
    <t>FARM0299</t>
  </si>
  <si>
    <t>SENS0299</t>
  </si>
  <si>
    <t>FARM0300</t>
  </si>
  <si>
    <t>SENS0300</t>
  </si>
  <si>
    <t>FARM0301</t>
  </si>
  <si>
    <t>SENS0301</t>
  </si>
  <si>
    <t>FARM0302</t>
  </si>
  <si>
    <t>SENS0302</t>
  </si>
  <si>
    <t>FARM0303</t>
  </si>
  <si>
    <t>SENS0303</t>
  </si>
  <si>
    <t>FARM0304</t>
  </si>
  <si>
    <t>SENS0304</t>
  </si>
  <si>
    <t>FARM0305</t>
  </si>
  <si>
    <t>SENS0305</t>
  </si>
  <si>
    <t>FARM0306</t>
  </si>
  <si>
    <t>SENS0306</t>
  </si>
  <si>
    <t>FARM0307</t>
  </si>
  <si>
    <t>SENS0307</t>
  </si>
  <si>
    <t>FARM0308</t>
  </si>
  <si>
    <t>SENS0308</t>
  </si>
  <si>
    <t>FARM0309</t>
  </si>
  <si>
    <t>SENS0309</t>
  </si>
  <si>
    <t>FARM0310</t>
  </si>
  <si>
    <t>SENS0310</t>
  </si>
  <si>
    <t>FARM0311</t>
  </si>
  <si>
    <t>SENS0311</t>
  </si>
  <si>
    <t>FARM0312</t>
  </si>
  <si>
    <t>SENS0312</t>
  </si>
  <si>
    <t>FARM0313</t>
  </si>
  <si>
    <t>SENS0313</t>
  </si>
  <si>
    <t>FARM0314</t>
  </si>
  <si>
    <t>SENS0314</t>
  </si>
  <si>
    <t>FARM0315</t>
  </si>
  <si>
    <t>SENS0315</t>
  </si>
  <si>
    <t>FARM0316</t>
  </si>
  <si>
    <t>SENS0316</t>
  </si>
  <si>
    <t>FARM0317</t>
  </si>
  <si>
    <t>SENS0317</t>
  </si>
  <si>
    <t>FARM0318</t>
  </si>
  <si>
    <t>SENS0318</t>
  </si>
  <si>
    <t>FARM0319</t>
  </si>
  <si>
    <t>SENS0319</t>
  </si>
  <si>
    <t>FARM0320</t>
  </si>
  <si>
    <t>SENS0320</t>
  </si>
  <si>
    <t>FARM0321</t>
  </si>
  <si>
    <t>SENS0321</t>
  </si>
  <si>
    <t>FARM0322</t>
  </si>
  <si>
    <t>SENS0322</t>
  </si>
  <si>
    <t>FARM0323</t>
  </si>
  <si>
    <t>SENS0323</t>
  </si>
  <si>
    <t>FARM0324</t>
  </si>
  <si>
    <t>SENS0324</t>
  </si>
  <si>
    <t>FARM0325</t>
  </si>
  <si>
    <t>SENS0325</t>
  </si>
  <si>
    <t>FARM0326</t>
  </si>
  <si>
    <t>SENS0326</t>
  </si>
  <si>
    <t>FARM0327</t>
  </si>
  <si>
    <t>SENS0327</t>
  </si>
  <si>
    <t>FARM0328</t>
  </si>
  <si>
    <t>SENS0328</t>
  </si>
  <si>
    <t>FARM0329</t>
  </si>
  <si>
    <t>SENS0329</t>
  </si>
  <si>
    <t>FARM0330</t>
  </si>
  <si>
    <t>SENS0330</t>
  </si>
  <si>
    <t>FARM0331</t>
  </si>
  <si>
    <t>SENS0331</t>
  </si>
  <si>
    <t>FARM0332</t>
  </si>
  <si>
    <t>SENS0332</t>
  </si>
  <si>
    <t>FARM0333</t>
  </si>
  <si>
    <t>SENS0333</t>
  </si>
  <si>
    <t>FARM0334</t>
  </si>
  <si>
    <t>SENS0334</t>
  </si>
  <si>
    <t>FARM0335</t>
  </si>
  <si>
    <t>SENS0335</t>
  </si>
  <si>
    <t>FARM0336</t>
  </si>
  <si>
    <t>SENS0336</t>
  </si>
  <si>
    <t>FARM0337</t>
  </si>
  <si>
    <t>SENS0337</t>
  </si>
  <si>
    <t>FARM0338</t>
  </si>
  <si>
    <t>SENS0338</t>
  </si>
  <si>
    <t>FARM0339</t>
  </si>
  <si>
    <t>SENS0339</t>
  </si>
  <si>
    <t>FARM0340</t>
  </si>
  <si>
    <t>SENS0340</t>
  </si>
  <si>
    <t>FARM0341</t>
  </si>
  <si>
    <t>SENS0341</t>
  </si>
  <si>
    <t>FARM0342</t>
  </si>
  <si>
    <t>SENS0342</t>
  </si>
  <si>
    <t>FARM0343</t>
  </si>
  <si>
    <t>SENS0343</t>
  </si>
  <si>
    <t>FARM0344</t>
  </si>
  <si>
    <t>SENS0344</t>
  </si>
  <si>
    <t>FARM0345</t>
  </si>
  <si>
    <t>SENS0345</t>
  </si>
  <si>
    <t>FARM0346</t>
  </si>
  <si>
    <t>SENS0346</t>
  </si>
  <si>
    <t>FARM0347</t>
  </si>
  <si>
    <t>SENS0347</t>
  </si>
  <si>
    <t>FARM0348</t>
  </si>
  <si>
    <t>SENS0348</t>
  </si>
  <si>
    <t>FARM0349</t>
  </si>
  <si>
    <t>SENS0349</t>
  </si>
  <si>
    <t>FARM0350</t>
  </si>
  <si>
    <t>SENS0350</t>
  </si>
  <si>
    <t>FARM0351</t>
  </si>
  <si>
    <t>SENS0351</t>
  </si>
  <si>
    <t>FARM0352</t>
  </si>
  <si>
    <t>SENS0352</t>
  </si>
  <si>
    <t>FARM0353</t>
  </si>
  <si>
    <t>SENS0353</t>
  </si>
  <si>
    <t>FARM0354</t>
  </si>
  <si>
    <t>SENS0354</t>
  </si>
  <si>
    <t>FARM0355</t>
  </si>
  <si>
    <t>SENS0355</t>
  </si>
  <si>
    <t>FARM0356</t>
  </si>
  <si>
    <t>SENS0356</t>
  </si>
  <si>
    <t>FARM0357</t>
  </si>
  <si>
    <t>SENS0357</t>
  </si>
  <si>
    <t>FARM0358</t>
  </si>
  <si>
    <t>SENS0358</t>
  </si>
  <si>
    <t>FARM0359</t>
  </si>
  <si>
    <t>SENS0359</t>
  </si>
  <si>
    <t>FARM0360</t>
  </si>
  <si>
    <t>SENS0360</t>
  </si>
  <si>
    <t>FARM0361</t>
  </si>
  <si>
    <t>SENS0361</t>
  </si>
  <si>
    <t>FARM0362</t>
  </si>
  <si>
    <t>SENS0362</t>
  </si>
  <si>
    <t>FARM0363</t>
  </si>
  <si>
    <t>SENS0363</t>
  </si>
  <si>
    <t>FARM0364</t>
  </si>
  <si>
    <t>SENS0364</t>
  </si>
  <si>
    <t>FARM0365</t>
  </si>
  <si>
    <t>SENS0365</t>
  </si>
  <si>
    <t>FARM0366</t>
  </si>
  <si>
    <t>SENS0366</t>
  </si>
  <si>
    <t>FARM0367</t>
  </si>
  <si>
    <t>SENS0367</t>
  </si>
  <si>
    <t>FARM0368</t>
  </si>
  <si>
    <t>SENS0368</t>
  </si>
  <si>
    <t>FARM0369</t>
  </si>
  <si>
    <t>SENS0369</t>
  </si>
  <si>
    <t>FARM0370</t>
  </si>
  <si>
    <t>SENS0370</t>
  </si>
  <si>
    <t>FARM0371</t>
  </si>
  <si>
    <t>SENS0371</t>
  </si>
  <si>
    <t>FARM0372</t>
  </si>
  <si>
    <t>SENS0372</t>
  </si>
  <si>
    <t>FARM0373</t>
  </si>
  <si>
    <t>SENS0373</t>
  </si>
  <si>
    <t>FARM0374</t>
  </si>
  <si>
    <t>SENS0374</t>
  </si>
  <si>
    <t>FARM0375</t>
  </si>
  <si>
    <t>SENS0375</t>
  </si>
  <si>
    <t>FARM0376</t>
  </si>
  <si>
    <t>SENS0376</t>
  </si>
  <si>
    <t>FARM0377</t>
  </si>
  <si>
    <t>SENS0377</t>
  </si>
  <si>
    <t>FARM0378</t>
  </si>
  <si>
    <t>SENS0378</t>
  </si>
  <si>
    <t>FARM0379</t>
  </si>
  <si>
    <t>SENS0379</t>
  </si>
  <si>
    <t>FARM0380</t>
  </si>
  <si>
    <t>SENS0380</t>
  </si>
  <si>
    <t>FARM0381</t>
  </si>
  <si>
    <t>SENS0381</t>
  </si>
  <si>
    <t>FARM0382</t>
  </si>
  <si>
    <t>SENS0382</t>
  </si>
  <si>
    <t>FARM0383</t>
  </si>
  <si>
    <t>SENS0383</t>
  </si>
  <si>
    <t>FARM0384</t>
  </si>
  <si>
    <t>SENS0384</t>
  </si>
  <si>
    <t>FARM0385</t>
  </si>
  <si>
    <t>SENS0385</t>
  </si>
  <si>
    <t>FARM0386</t>
  </si>
  <si>
    <t>SENS0386</t>
  </si>
  <si>
    <t>FARM0387</t>
  </si>
  <si>
    <t>SENS0387</t>
  </si>
  <si>
    <t>FARM0388</t>
  </si>
  <si>
    <t>SENS0388</t>
  </si>
  <si>
    <t>FARM0389</t>
  </si>
  <si>
    <t>SENS0389</t>
  </si>
  <si>
    <t>FARM0390</t>
  </si>
  <si>
    <t>SENS0390</t>
  </si>
  <si>
    <t>FARM0391</t>
  </si>
  <si>
    <t>SENS0391</t>
  </si>
  <si>
    <t>FARM0392</t>
  </si>
  <si>
    <t>SENS0392</t>
  </si>
  <si>
    <t>FARM0393</t>
  </si>
  <si>
    <t>SENS0393</t>
  </si>
  <si>
    <t>FARM0394</t>
  </si>
  <si>
    <t>SENS0394</t>
  </si>
  <si>
    <t>FARM0395</t>
  </si>
  <si>
    <t>SENS0395</t>
  </si>
  <si>
    <t>FARM0396</t>
  </si>
  <si>
    <t>SENS0396</t>
  </si>
  <si>
    <t>FARM0397</t>
  </si>
  <si>
    <t>SENS0397</t>
  </si>
  <si>
    <t>FARM0398</t>
  </si>
  <si>
    <t>SENS0398</t>
  </si>
  <si>
    <t>FARM0399</t>
  </si>
  <si>
    <t>SENS0399</t>
  </si>
  <si>
    <t>FARM0400</t>
  </si>
  <si>
    <t>SENS0400</t>
  </si>
  <si>
    <t>FARM0401</t>
  </si>
  <si>
    <t>SENS0401</t>
  </si>
  <si>
    <t>FARM0402</t>
  </si>
  <si>
    <t>SENS0402</t>
  </si>
  <si>
    <t>FARM0403</t>
  </si>
  <si>
    <t>SENS0403</t>
  </si>
  <si>
    <t>FARM0404</t>
  </si>
  <si>
    <t>SENS0404</t>
  </si>
  <si>
    <t>FARM0405</t>
  </si>
  <si>
    <t>SENS0405</t>
  </si>
  <si>
    <t>FARM0406</t>
  </si>
  <si>
    <t>SENS0406</t>
  </si>
  <si>
    <t>FARM0407</t>
  </si>
  <si>
    <t>SENS0407</t>
  </si>
  <si>
    <t>FARM0408</t>
  </si>
  <si>
    <t>SENS0408</t>
  </si>
  <si>
    <t>FARM0409</t>
  </si>
  <si>
    <t>SENS0409</t>
  </si>
  <si>
    <t>FARM0410</t>
  </si>
  <si>
    <t>SENS0410</t>
  </si>
  <si>
    <t>FARM0411</t>
  </si>
  <si>
    <t>SENS0411</t>
  </si>
  <si>
    <t>FARM0412</t>
  </si>
  <si>
    <t>SENS0412</t>
  </si>
  <si>
    <t>FARM0413</t>
  </si>
  <si>
    <t>SENS0413</t>
  </si>
  <si>
    <t>FARM0414</t>
  </si>
  <si>
    <t>SENS0414</t>
  </si>
  <si>
    <t>FARM0415</t>
  </si>
  <si>
    <t>SENS0415</t>
  </si>
  <si>
    <t>FARM0416</t>
  </si>
  <si>
    <t>SENS0416</t>
  </si>
  <si>
    <t>FARM0417</t>
  </si>
  <si>
    <t>SENS0417</t>
  </si>
  <si>
    <t>FARM0418</t>
  </si>
  <si>
    <t>SENS0418</t>
  </si>
  <si>
    <t>FARM0419</t>
  </si>
  <si>
    <t>SENS0419</t>
  </si>
  <si>
    <t>FARM0420</t>
  </si>
  <si>
    <t>SENS0420</t>
  </si>
  <si>
    <t>FARM0421</t>
  </si>
  <si>
    <t>SENS0421</t>
  </si>
  <si>
    <t>FARM0422</t>
  </si>
  <si>
    <t>SENS0422</t>
  </si>
  <si>
    <t>FARM0423</t>
  </si>
  <si>
    <t>SENS0423</t>
  </si>
  <si>
    <t>FARM0424</t>
  </si>
  <si>
    <t>SENS0424</t>
  </si>
  <si>
    <t>FARM0425</t>
  </si>
  <si>
    <t>SENS0425</t>
  </si>
  <si>
    <t>FARM0426</t>
  </si>
  <si>
    <t>SENS0426</t>
  </si>
  <si>
    <t>FARM0427</t>
  </si>
  <si>
    <t>SENS0427</t>
  </si>
  <si>
    <t>FARM0428</t>
  </si>
  <si>
    <t>SENS0428</t>
  </si>
  <si>
    <t>FARM0429</t>
  </si>
  <si>
    <t>SENS0429</t>
  </si>
  <si>
    <t>FARM0430</t>
  </si>
  <si>
    <t>SENS0430</t>
  </si>
  <si>
    <t>FARM0431</t>
  </si>
  <si>
    <t>SENS0431</t>
  </si>
  <si>
    <t>FARM0432</t>
  </si>
  <si>
    <t>SENS0432</t>
  </si>
  <si>
    <t>FARM0433</t>
  </si>
  <si>
    <t>SENS0433</t>
  </si>
  <si>
    <t>FARM0434</t>
  </si>
  <si>
    <t>SENS0434</t>
  </si>
  <si>
    <t>FARM0435</t>
  </si>
  <si>
    <t>SENS0435</t>
  </si>
  <si>
    <t>FARM0436</t>
  </si>
  <si>
    <t>SENS0436</t>
  </si>
  <si>
    <t>FARM0437</t>
  </si>
  <si>
    <t>SENS0437</t>
  </si>
  <si>
    <t>FARM0438</t>
  </si>
  <si>
    <t>SENS0438</t>
  </si>
  <si>
    <t>FARM0439</t>
  </si>
  <si>
    <t>SENS0439</t>
  </si>
  <si>
    <t>FARM0440</t>
  </si>
  <si>
    <t>SENS0440</t>
  </si>
  <si>
    <t>FARM0441</t>
  </si>
  <si>
    <t>SENS0441</t>
  </si>
  <si>
    <t>FARM0442</t>
  </si>
  <si>
    <t>SENS0442</t>
  </si>
  <si>
    <t>FARM0443</t>
  </si>
  <si>
    <t>SENS0443</t>
  </si>
  <si>
    <t>FARM0444</t>
  </si>
  <si>
    <t>SENS0444</t>
  </si>
  <si>
    <t>FARM0445</t>
  </si>
  <si>
    <t>SENS0445</t>
  </si>
  <si>
    <t>FARM0446</t>
  </si>
  <si>
    <t>SENS0446</t>
  </si>
  <si>
    <t>FARM0447</t>
  </si>
  <si>
    <t>SENS0447</t>
  </si>
  <si>
    <t>FARM0448</t>
  </si>
  <si>
    <t>SENS0448</t>
  </si>
  <si>
    <t>FARM0449</t>
  </si>
  <si>
    <t>SENS0449</t>
  </si>
  <si>
    <t>FARM0450</t>
  </si>
  <si>
    <t>SENS0450</t>
  </si>
  <si>
    <t>FARM0451</t>
  </si>
  <si>
    <t>SENS0451</t>
  </si>
  <si>
    <t>FARM0452</t>
  </si>
  <si>
    <t>SENS0452</t>
  </si>
  <si>
    <t>FARM0453</t>
  </si>
  <si>
    <t>SENS0453</t>
  </si>
  <si>
    <t>FARM0454</t>
  </si>
  <si>
    <t>SENS0454</t>
  </si>
  <si>
    <t>FARM0455</t>
  </si>
  <si>
    <t>SENS0455</t>
  </si>
  <si>
    <t>FARM0456</t>
  </si>
  <si>
    <t>SENS0456</t>
  </si>
  <si>
    <t>FARM0457</t>
  </si>
  <si>
    <t>SENS0457</t>
  </si>
  <si>
    <t>FARM0458</t>
  </si>
  <si>
    <t>SENS0458</t>
  </si>
  <si>
    <t>FARM0459</t>
  </si>
  <si>
    <t>SENS0459</t>
  </si>
  <si>
    <t>FARM0460</t>
  </si>
  <si>
    <t>SENS0460</t>
  </si>
  <si>
    <t>FARM0461</t>
  </si>
  <si>
    <t>SENS0461</t>
  </si>
  <si>
    <t>FARM0462</t>
  </si>
  <si>
    <t>SENS0462</t>
  </si>
  <si>
    <t>FARM0463</t>
  </si>
  <si>
    <t>SENS0463</t>
  </si>
  <si>
    <t>FARM0464</t>
  </si>
  <si>
    <t>SENS0464</t>
  </si>
  <si>
    <t>FARM0465</t>
  </si>
  <si>
    <t>SENS0465</t>
  </si>
  <si>
    <t>FARM0466</t>
  </si>
  <si>
    <t>SENS0466</t>
  </si>
  <si>
    <t>FARM0467</t>
  </si>
  <si>
    <t>SENS0467</t>
  </si>
  <si>
    <t>FARM0468</t>
  </si>
  <si>
    <t>SENS0468</t>
  </si>
  <si>
    <t>FARM0469</t>
  </si>
  <si>
    <t>SENS0469</t>
  </si>
  <si>
    <t>FARM0470</t>
  </si>
  <si>
    <t>SENS0470</t>
  </si>
  <si>
    <t>FARM0471</t>
  </si>
  <si>
    <t>SENS0471</t>
  </si>
  <si>
    <t>FARM0472</t>
  </si>
  <si>
    <t>SENS0472</t>
  </si>
  <si>
    <t>FARM0473</t>
  </si>
  <si>
    <t>SENS0473</t>
  </si>
  <si>
    <t>FARM0474</t>
  </si>
  <si>
    <t>SENS0474</t>
  </si>
  <si>
    <t>FARM0475</t>
  </si>
  <si>
    <t>SENS0475</t>
  </si>
  <si>
    <t>FARM0476</t>
  </si>
  <si>
    <t>SENS0476</t>
  </si>
  <si>
    <t>FARM0477</t>
  </si>
  <si>
    <t>SENS0477</t>
  </si>
  <si>
    <t>FARM0478</t>
  </si>
  <si>
    <t>SENS0478</t>
  </si>
  <si>
    <t>FARM0479</t>
  </si>
  <si>
    <t>SENS0479</t>
  </si>
  <si>
    <t>FARM0480</t>
  </si>
  <si>
    <t>SENS0480</t>
  </si>
  <si>
    <t>FARM0481</t>
  </si>
  <si>
    <t>SENS0481</t>
  </si>
  <si>
    <t>FARM0482</t>
  </si>
  <si>
    <t>SENS0482</t>
  </si>
  <si>
    <t>FARM0483</t>
  </si>
  <si>
    <t>SENS0483</t>
  </si>
  <si>
    <t>FARM0484</t>
  </si>
  <si>
    <t>SENS0484</t>
  </si>
  <si>
    <t>FARM0485</t>
  </si>
  <si>
    <t>SENS0485</t>
  </si>
  <si>
    <t>FARM0486</t>
  </si>
  <si>
    <t>SENS0486</t>
  </si>
  <si>
    <t>FARM0487</t>
  </si>
  <si>
    <t>SENS0487</t>
  </si>
  <si>
    <t>FARM0488</t>
  </si>
  <si>
    <t>SENS0488</t>
  </si>
  <si>
    <t>FARM0489</t>
  </si>
  <si>
    <t>SENS0489</t>
  </si>
  <si>
    <t>FARM0490</t>
  </si>
  <si>
    <t>SENS0490</t>
  </si>
  <si>
    <t>FARM0491</t>
  </si>
  <si>
    <t>SENS0491</t>
  </si>
  <si>
    <t>FARM0492</t>
  </si>
  <si>
    <t>SENS0492</t>
  </si>
  <si>
    <t>FARM0493</t>
  </si>
  <si>
    <t>SENS0493</t>
  </si>
  <si>
    <t>FARM0494</t>
  </si>
  <si>
    <t>SENS0494</t>
  </si>
  <si>
    <t>FARM0495</t>
  </si>
  <si>
    <t>SENS0495</t>
  </si>
  <si>
    <t>FARM0496</t>
  </si>
  <si>
    <t>SENS0496</t>
  </si>
  <si>
    <t>FARM0497</t>
  </si>
  <si>
    <t>SENS0497</t>
  </si>
  <si>
    <t>FARM0498</t>
  </si>
  <si>
    <t>SENS0498</t>
  </si>
  <si>
    <t>FARM0499</t>
  </si>
  <si>
    <t>SENS0499</t>
  </si>
  <si>
    <t>FARM0500</t>
  </si>
  <si>
    <t>SENS0500</t>
  </si>
  <si>
    <t>Harvest_month</t>
  </si>
  <si>
    <t>Average of yield_kg_per_hectare</t>
  </si>
  <si>
    <t>Sum of yield_kg_per_hectare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</si>
</sst>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0" xfId="0" applyFill="1"/>
    <xf numFmtId="14" fontId="0" fillId="0" borderId="0" xfId="0" applyNumberFormat="1"/>
    <xf numFmtId="1" fontId="0" fillId="0" borderId="0" xfId="0" applyNumberFormat="1"/>
    <xf numFmtId="164" fontId="0" fillId="0" borderId="0" xfId="0" applyNumberFormat="1"/>
  </cellXfs>
  <cellStyles count="1">
    <cellStyle name="Normal" xfId="0" builtinId="0"/>
  </cellStyles>
  <dxfs count="10">
    <dxf>
      <numFmt numFmtId="1" formatCode="0"/>
    </dxf>
    <dxf>
      <numFmt numFmtId="164" formatCode="0.0"/>
    </dxf>
    <dxf>
      <numFmt numFmtId="1" formatCode="0"/>
    </dxf>
    <dxf>
      <numFmt numFmtId="1" formatCode="0"/>
    </dxf>
    <dxf>
      <numFmt numFmtId="19" formatCode="mm/dd/yyyy"/>
    </dxf>
    <dxf>
      <numFmt numFmtId="19" formatCode="mm/dd/yyyy"/>
    </dxf>
    <dxf>
      <numFmt numFmtId="19" formatCode="mm/dd/yyyy"/>
    </dxf>
    <dxf>
      <numFmt numFmtId="19" formatCode="mm/dd/yyyy"/>
    </dxf>
    <dxf>
      <font>
        <sz val="22"/>
        <color theme="0" tint="-4.9989318521683403E-2"/>
        <name val="Segoe UI Semibold"/>
        <scheme val="none"/>
      </font>
      <border diagonalUp="0" diagonalDown="0">
        <left/>
        <right/>
        <top/>
        <bottom/>
        <vertical/>
        <horizontal/>
      </border>
    </dxf>
    <dxf>
      <fill>
        <patternFill>
          <bgColor rgb="FF006600"/>
        </patternFill>
      </fill>
      <border diagonalUp="0" diagonalDown="0">
        <left/>
        <right/>
        <top/>
        <bottom/>
        <vertical/>
        <horizontal/>
      </border>
    </dxf>
  </dxfs>
  <tableStyles count="1" defaultTableStyle="TableStyleMedium2" defaultPivotStyle="PivotStyleLight16">
    <tableStyle name="SlicerStyleDark6 2" pivot="0" table="0" count="10">
      <tableStyleElement type="wholeTable" dxfId="9"/>
      <tableStyleElement type="headerRow" dxfId="8"/>
    </tableStyle>
  </tableStyles>
  <colors>
    <mruColors>
      <color rgb="FF006600"/>
      <color rgb="FF9AD955"/>
      <color rgb="FF9FF36B"/>
      <color rgb="FF8ED091"/>
      <color rgb="FF99CC00"/>
      <color rgb="FF008000"/>
      <color rgb="FFCCFFFF"/>
      <color rgb="FF339933"/>
      <color rgb="FF4A6E66"/>
      <color rgb="FF3D7B5B"/>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8"/>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b/>
            <i val="0"/>
            <sz val="18"/>
            <color theme="0"/>
          </font>
          <fill>
            <patternFill patternType="solid">
              <fgColor theme="0"/>
              <bgColor rgb="FF92D050"/>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6"/>
            <color theme="1"/>
          </font>
          <fill>
            <patternFill patternType="solid">
              <fgColor theme="9" tint="0.59996337778862885"/>
              <bgColor theme="9" tint="0.59996337778862885"/>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[INTERSHIP.xlsx]Chart!PivotTable1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Chart!$B$1</c:f>
              <c:strCache>
                <c:ptCount val="1"/>
                <c:pt idx="0">
                  <c:v>Total</c:v>
                </c:pt>
              </c:strCache>
            </c:strRef>
          </c:tx>
          <c:spPr>
            <a:ln w="28575" cap="rnd">
              <a:solidFill>
                <a:schemeClr val="accent1"/>
              </a:solidFill>
              <a:round/>
            </a:ln>
            <a:effectLst/>
          </c:spPr>
          <c:marker>
            <c:symbol val="none"/>
          </c:marker>
          <c:cat>
            <c:strRef>
              <c:f>Chart!$A$2:$A$7</c:f>
              <c:strCache>
                <c:ptCount val="5"/>
                <c:pt idx="0">
                  <c:v>April</c:v>
                </c:pt>
                <c:pt idx="1">
                  <c:v>May</c:v>
                </c:pt>
                <c:pt idx="2">
                  <c:v>June</c:v>
                </c:pt>
                <c:pt idx="3">
                  <c:v>July</c:v>
                </c:pt>
                <c:pt idx="4">
                  <c:v>August</c:v>
                </c:pt>
              </c:strCache>
            </c:strRef>
          </c:cat>
          <c:val>
            <c:numRef>
              <c:f>Chart!$B$2:$B$7</c:f>
              <c:numCache>
                <c:formatCode>0</c:formatCode>
                <c:ptCount val="5"/>
                <c:pt idx="0">
                  <c:v>4029.3260869565224</c:v>
                </c:pt>
                <c:pt idx="1">
                  <c:v>4114.5992561983467</c:v>
                </c:pt>
                <c:pt idx="2">
                  <c:v>3978.3579234972658</c:v>
                </c:pt>
                <c:pt idx="3">
                  <c:v>3996.0225619834719</c:v>
                </c:pt>
                <c:pt idx="4">
                  <c:v>4196.1975862068966</c:v>
                </c:pt>
              </c:numCache>
            </c:numRef>
          </c:val>
          <c:smooth val="0"/>
        </c:ser>
        <c:dLbls>
          <c:showLegendKey val="0"/>
          <c:showVal val="0"/>
          <c:showCatName val="0"/>
          <c:showSerName val="0"/>
          <c:showPercent val="0"/>
          <c:showBubbleSize val="0"/>
        </c:dLbls>
        <c:smooth val="0"/>
        <c:axId val="316047616"/>
        <c:axId val="316045656"/>
      </c:lineChart>
      <c:catAx>
        <c:axId val="31604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045656"/>
        <c:crosses val="autoZero"/>
        <c:auto val="1"/>
        <c:lblAlgn val="ctr"/>
        <c:lblOffset val="100"/>
        <c:noMultiLvlLbl val="0"/>
      </c:catAx>
      <c:valAx>
        <c:axId val="316045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04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[INTERSHIP.xlsx]Chart!PivotTable2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stacked"/>
        <c:varyColors val="0"/>
        <c:ser>
          <c:idx val="0"/>
          <c:order val="0"/>
          <c:tx>
            <c:strRef>
              <c:f>Chart!$B$22</c:f>
              <c:strCache>
                <c:ptCount val="1"/>
                <c:pt idx="0">
                  <c:v>Total</c:v>
                </c:pt>
              </c:strCache>
            </c:strRef>
          </c:tx>
          <c:spPr>
            <a:solidFill>
              <a:schemeClr val="accent1"/>
            </a:solidFill>
            <a:ln>
              <a:noFill/>
            </a:ln>
            <a:effectLst/>
          </c:spPr>
          <c:invertIfNegative val="0"/>
          <c:cat>
            <c:strRef>
              <c:f>Chart!$A$23:$A$28</c:f>
              <c:strCache>
                <c:ptCount val="5"/>
                <c:pt idx="0">
                  <c:v>Cotton</c:v>
                </c:pt>
                <c:pt idx="1">
                  <c:v>Maize</c:v>
                </c:pt>
                <c:pt idx="2">
                  <c:v>Rice</c:v>
                </c:pt>
                <c:pt idx="3">
                  <c:v>Soybean</c:v>
                </c:pt>
                <c:pt idx="4">
                  <c:v>Wheat</c:v>
                </c:pt>
              </c:strCache>
            </c:strRef>
          </c:cat>
          <c:val>
            <c:numRef>
              <c:f>Chart!$B$23:$B$28</c:f>
              <c:numCache>
                <c:formatCode>General</c:formatCode>
                <c:ptCount val="5"/>
                <c:pt idx="0">
                  <c:v>420039.53000000009</c:v>
                </c:pt>
                <c:pt idx="1">
                  <c:v>442063.47999999992</c:v>
                </c:pt>
                <c:pt idx="2">
                  <c:v>319486.76</c:v>
                </c:pt>
                <c:pt idx="3">
                  <c:v>459735.92000000004</c:v>
                </c:pt>
                <c:pt idx="4">
                  <c:v>375137.77999999997</c:v>
                </c:pt>
              </c:numCache>
            </c:numRef>
          </c:val>
        </c:ser>
        <c:dLbls>
          <c:showLegendKey val="0"/>
          <c:showVal val="0"/>
          <c:showCatName val="0"/>
          <c:showSerName val="0"/>
          <c:showPercent val="0"/>
          <c:showBubbleSize val="0"/>
        </c:dLbls>
        <c:gapWidth val="150"/>
        <c:overlap val="100"/>
        <c:axId val="316046048"/>
        <c:axId val="316048008"/>
      </c:barChart>
      <c:catAx>
        <c:axId val="31604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048008"/>
        <c:crosses val="autoZero"/>
        <c:auto val="1"/>
        <c:lblAlgn val="ctr"/>
        <c:lblOffset val="100"/>
        <c:noMultiLvlLbl val="0"/>
      </c:catAx>
      <c:valAx>
        <c:axId val="316048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04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[INTERSHIP.xlsx]Chart!PivotTable3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Chart!$B$36</c:f>
              <c:strCache>
                <c:ptCount val="1"/>
                <c:pt idx="0">
                  <c:v>Total</c:v>
                </c:pt>
              </c:strCache>
            </c:strRef>
          </c:tx>
          <c:spPr>
            <a:solidFill>
              <a:schemeClr val="accent1"/>
            </a:solidFill>
            <a:ln>
              <a:noFill/>
            </a:ln>
            <a:effectLst/>
          </c:spPr>
          <c:invertIfNegative val="0"/>
          <c:cat>
            <c:strRef>
              <c:f>Chart!$A$37:$A$40</c:f>
              <c:strCache>
                <c:ptCount val="3"/>
                <c:pt idx="0">
                  <c:v>Inorganic</c:v>
                </c:pt>
                <c:pt idx="1">
                  <c:v>Mixed</c:v>
                </c:pt>
                <c:pt idx="2">
                  <c:v>Organic</c:v>
                </c:pt>
              </c:strCache>
            </c:strRef>
          </c:cat>
          <c:val>
            <c:numRef>
              <c:f>Chart!$B$37:$B$40</c:f>
              <c:numCache>
                <c:formatCode>0</c:formatCode>
                <c:ptCount val="3"/>
                <c:pt idx="0">
                  <c:v>4087.1228742514959</c:v>
                </c:pt>
                <c:pt idx="1">
                  <c:v>3972.41497005988</c:v>
                </c:pt>
                <c:pt idx="2">
                  <c:v>4039.2810240963863</c:v>
                </c:pt>
              </c:numCache>
            </c:numRef>
          </c:val>
        </c:ser>
        <c:dLbls>
          <c:showLegendKey val="0"/>
          <c:showVal val="0"/>
          <c:showCatName val="0"/>
          <c:showSerName val="0"/>
          <c:showPercent val="0"/>
          <c:showBubbleSize val="0"/>
        </c:dLbls>
        <c:gapWidth val="219"/>
        <c:overlap val="-27"/>
        <c:axId val="316041736"/>
        <c:axId val="316044480"/>
      </c:barChart>
      <c:catAx>
        <c:axId val="316041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044480"/>
        <c:crosses val="autoZero"/>
        <c:auto val="1"/>
        <c:lblAlgn val="ctr"/>
        <c:lblOffset val="100"/>
        <c:noMultiLvlLbl val="0"/>
      </c:catAx>
      <c:valAx>
        <c:axId val="3160444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041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[INTERSHIP.xlsx]Chart!PivotTable4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Chart!$B$53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Chart!$A$54:$A$59</c:f>
              <c:strCache>
                <c:ptCount val="5"/>
                <c:pt idx="0">
                  <c:v>Central USA</c:v>
                </c:pt>
                <c:pt idx="1">
                  <c:v>East Africa</c:v>
                </c:pt>
                <c:pt idx="2">
                  <c:v>North India</c:v>
                </c:pt>
                <c:pt idx="3">
                  <c:v>South India</c:v>
                </c:pt>
                <c:pt idx="4">
                  <c:v>South USA</c:v>
                </c:pt>
              </c:strCache>
            </c:strRef>
          </c:cat>
          <c:val>
            <c:numRef>
              <c:f>Chart!$B$54:$B$59</c:f>
              <c:numCache>
                <c:formatCode>0.0</c:formatCode>
                <c:ptCount val="5"/>
                <c:pt idx="0">
                  <c:v>4013.0834862385345</c:v>
                </c:pt>
                <c:pt idx="1">
                  <c:v>4053.18448598131</c:v>
                </c:pt>
                <c:pt idx="2">
                  <c:v>3996.2216161616152</c:v>
                </c:pt>
                <c:pt idx="3">
                  <c:v>4122.8846153846171</c:v>
                </c:pt>
                <c:pt idx="4">
                  <c:v>3984.4488297872317</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[INTERSHIP.xlsx]Chart!PivotTable5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Chart!$B$70</c:f>
              <c:strCache>
                <c:ptCount val="1"/>
                <c:pt idx="0">
                  <c:v>Total</c:v>
                </c:pt>
              </c:strCache>
            </c:strRef>
          </c:tx>
          <c:spPr>
            <a:solidFill>
              <a:schemeClr val="accent1"/>
            </a:solidFill>
            <a:ln>
              <a:noFill/>
            </a:ln>
            <a:effectLst/>
          </c:spPr>
          <c:invertIfNegative val="0"/>
          <c:cat>
            <c:strRef>
              <c:f>Chart!$A$71:$A$75</c:f>
              <c:strCache>
                <c:ptCount val="4"/>
                <c:pt idx="0">
                  <c:v>Mild</c:v>
                </c:pt>
                <c:pt idx="1">
                  <c:v>Moderate</c:v>
                </c:pt>
                <c:pt idx="2">
                  <c:v>None</c:v>
                </c:pt>
                <c:pt idx="3">
                  <c:v>Severe</c:v>
                </c:pt>
              </c:strCache>
            </c:strRef>
          </c:cat>
          <c:val>
            <c:numRef>
              <c:f>Chart!$B$71:$B$75</c:f>
              <c:numCache>
                <c:formatCode>0</c:formatCode>
                <c:ptCount val="4"/>
                <c:pt idx="0">
                  <c:v>4089.8717599999986</c:v>
                </c:pt>
                <c:pt idx="1">
                  <c:v>3915.9153571428574</c:v>
                </c:pt>
                <c:pt idx="2">
                  <c:v>4082.6476153846161</c:v>
                </c:pt>
                <c:pt idx="3">
                  <c:v>4029.3442857142877</c:v>
                </c:pt>
              </c:numCache>
            </c:numRef>
          </c:val>
        </c:ser>
        <c:dLbls>
          <c:showLegendKey val="0"/>
          <c:showVal val="0"/>
          <c:showCatName val="0"/>
          <c:showSerName val="0"/>
          <c:showPercent val="0"/>
          <c:showBubbleSize val="0"/>
        </c:dLbls>
        <c:gapWidth val="150"/>
        <c:axId val="243027560"/>
        <c:axId val="243025208"/>
      </c:barChart>
      <c:catAx>
        <c:axId val="243027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025208"/>
        <c:crosses val="autoZero"/>
        <c:auto val="1"/>
        <c:lblAlgn val="ctr"/>
        <c:lblOffset val="100"/>
        <c:noMultiLvlLbl val="0"/>
      </c:catAx>
      <c:valAx>
        <c:axId val="2430252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027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[INTERSHIP.xlsx]chart_1!PivotTable1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Regional Yield Performance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chart_1!$B$2</c:f>
              <c:strCache>
                <c:ptCount val="1"/>
                <c:pt idx="0">
                  <c:v>Total</c:v>
                </c:pt>
              </c:strCache>
            </c:strRef>
          </c:tx>
          <c:spPr>
            <a:solidFill>
              <a:schemeClr val="accent1"/>
            </a:solidFill>
            <a:ln>
              <a:noFill/>
            </a:ln>
            <a:effectLst/>
          </c:spPr>
          <c:invertIfNegative val="0"/>
          <c:cat>
            <c:strRef>
              <c:f>chart_1!$A$3:$A$8</c:f>
              <c:strCache>
                <c:ptCount val="5"/>
                <c:pt idx="0">
                  <c:v>Central USA</c:v>
                </c:pt>
                <c:pt idx="1">
                  <c:v>East Africa</c:v>
                </c:pt>
                <c:pt idx="2">
                  <c:v>North India</c:v>
                </c:pt>
                <c:pt idx="3">
                  <c:v>South India</c:v>
                </c:pt>
                <c:pt idx="4">
                  <c:v>South USA</c:v>
                </c:pt>
              </c:strCache>
            </c:strRef>
          </c:cat>
          <c:val>
            <c:numRef>
              <c:f>chart_1!$B$3:$B$8</c:f>
              <c:numCache>
                <c:formatCode>General</c:formatCode>
                <c:ptCount val="5"/>
                <c:pt idx="0">
                  <c:v>437426.1</c:v>
                </c:pt>
                <c:pt idx="1">
                  <c:v>433690.74</c:v>
                </c:pt>
                <c:pt idx="2">
                  <c:v>395625.94</c:v>
                </c:pt>
                <c:pt idx="3">
                  <c:v>375182.5</c:v>
                </c:pt>
                <c:pt idx="4">
                  <c:v>374538.19</c:v>
                </c:pt>
              </c:numCache>
            </c:numRef>
          </c:val>
        </c:ser>
        <c:dLbls>
          <c:showLegendKey val="0"/>
          <c:showVal val="0"/>
          <c:showCatName val="0"/>
          <c:showSerName val="0"/>
          <c:showPercent val="0"/>
          <c:showBubbleSize val="0"/>
        </c:dLbls>
        <c:gapWidth val="219"/>
        <c:axId val="243027952"/>
        <c:axId val="243031088"/>
      </c:barChart>
      <c:catAx>
        <c:axId val="2430279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Region</a:t>
                </a:r>
              </a:p>
            </c:rich>
          </c:tx>
          <c:layout>
            <c:manualLayout>
              <c:xMode val="edge"/>
              <c:yMode val="edge"/>
              <c:x val="1.2731896884982399E-2"/>
              <c:y val="0.4194079128199323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43031088"/>
        <c:crosses val="autoZero"/>
        <c:auto val="1"/>
        <c:lblAlgn val="ctr"/>
        <c:lblOffset val="100"/>
        <c:noMultiLvlLbl val="0"/>
      </c:catAx>
      <c:valAx>
        <c:axId val="243031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Avg_Yield</a:t>
                </a:r>
              </a:p>
            </c:rich>
          </c:tx>
          <c:layout>
            <c:manualLayout>
              <c:xMode val="edge"/>
              <c:yMode val="edge"/>
              <c:x val="0.40931046409896443"/>
              <c:y val="0.90470209704279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43027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[INTERSHIP.xlsx]chart_1!PivotTable2</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Crop Yield Distribution Across Regions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chart_1!$B$24</c:f>
              <c:strCache>
                <c:ptCount val="1"/>
                <c:pt idx="0">
                  <c:v>Total</c:v>
                </c:pt>
              </c:strCache>
            </c:strRef>
          </c:tx>
          <c:spPr>
            <a:solidFill>
              <a:schemeClr val="accent1"/>
            </a:solidFill>
            <a:ln>
              <a:noFill/>
            </a:ln>
            <a:effectLst/>
          </c:spPr>
          <c:invertIfNegative val="0"/>
          <c:cat>
            <c:strRef>
              <c:f>chart_1!$A$25:$A$30</c:f>
              <c:strCache>
                <c:ptCount val="5"/>
                <c:pt idx="0">
                  <c:v>Cotton</c:v>
                </c:pt>
                <c:pt idx="1">
                  <c:v>Maize</c:v>
                </c:pt>
                <c:pt idx="2">
                  <c:v>Rice</c:v>
                </c:pt>
                <c:pt idx="3">
                  <c:v>Soybean</c:v>
                </c:pt>
                <c:pt idx="4">
                  <c:v>Wheat</c:v>
                </c:pt>
              </c:strCache>
            </c:strRef>
          </c:cat>
          <c:val>
            <c:numRef>
              <c:f>chart_1!$B$25:$B$30</c:f>
              <c:numCache>
                <c:formatCode>General</c:formatCode>
                <c:ptCount val="5"/>
                <c:pt idx="0">
                  <c:v>420039.53</c:v>
                </c:pt>
                <c:pt idx="1">
                  <c:v>442063.48</c:v>
                </c:pt>
                <c:pt idx="2">
                  <c:v>319486.76</c:v>
                </c:pt>
                <c:pt idx="3">
                  <c:v>459735.92</c:v>
                </c:pt>
                <c:pt idx="4">
                  <c:v>375137.78</c:v>
                </c:pt>
              </c:numCache>
            </c:numRef>
          </c:val>
        </c:ser>
        <c:dLbls>
          <c:showLegendKey val="0"/>
          <c:showVal val="0"/>
          <c:showCatName val="0"/>
          <c:showSerName val="0"/>
          <c:showPercent val="0"/>
          <c:showBubbleSize val="0"/>
        </c:dLbls>
        <c:gapWidth val="219"/>
        <c:overlap val="-27"/>
        <c:axId val="243024424"/>
        <c:axId val="243028736"/>
      </c:barChart>
      <c:catAx>
        <c:axId val="243024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Crop_Type</a:t>
                </a:r>
              </a:p>
            </c:rich>
          </c:tx>
          <c:layout>
            <c:manualLayout>
              <c:xMode val="edge"/>
              <c:yMode val="edge"/>
              <c:x val="0.41174868766404205"/>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43028736"/>
        <c:crosses val="autoZero"/>
        <c:auto val="1"/>
        <c:lblAlgn val="ctr"/>
        <c:lblOffset val="100"/>
        <c:noMultiLvlLbl val="0"/>
      </c:catAx>
      <c:valAx>
        <c:axId val="2430287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Avg_Yield</a:t>
                </a:r>
              </a:p>
            </c:rich>
          </c:tx>
          <c:layout>
            <c:manualLayout>
              <c:xMode val="edge"/>
              <c:yMode val="edge"/>
              <c:x val="2.2222222222222223E-2"/>
              <c:y val="0.343325678040244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43024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[INTERSHIP.xlsx]chart_1!PivotTable3</c:name>
    <c:fmtId val="0"/>
  </c:pivotSource>
  <c:chart>
    <c:title>
      <c:tx>
        <c:rich>
          <a:bodyPr rot="0" spcFirstLastPara="1" vertOverflow="ellipsis" vert="horz" wrap="square" anchor="ctr" anchorCtr="1"/>
          <a:lstStyle/>
          <a:p>
            <a:pPr>
              <a:defRPr sz="1370" b="0" i="0" u="none" strike="noStrike" kern="1200" spc="0" baseline="0">
                <a:solidFill>
                  <a:schemeClr val="tx1"/>
                </a:solidFill>
                <a:latin typeface="+mn-lt"/>
                <a:ea typeface="+mn-ea"/>
                <a:cs typeface="+mn-cs"/>
              </a:defRPr>
            </a:pPr>
            <a:r>
              <a:rPr lang="en-US" sz="1370" baseline="0">
                <a:solidFill>
                  <a:schemeClr val="tx1"/>
                </a:solidFill>
              </a:rPr>
              <a:t>Fertilizer Efficiency and Yield Optimization Analysis</a:t>
            </a:r>
          </a:p>
        </c:rich>
      </c:tx>
      <c:layout>
        <c:manualLayout>
          <c:xMode val="edge"/>
          <c:yMode val="edge"/>
          <c:x val="0.16387489063867017"/>
          <c:y val="2.7777777777777776E-2"/>
        </c:manualLayout>
      </c:layout>
      <c:overlay val="0"/>
      <c:spPr>
        <a:noFill/>
        <a:ln>
          <a:noFill/>
        </a:ln>
        <a:effectLst/>
      </c:spPr>
      <c:txPr>
        <a:bodyPr rot="0" spcFirstLastPara="1" vertOverflow="ellipsis" vert="horz" wrap="square" anchor="ctr" anchorCtr="1"/>
        <a:lstStyle/>
        <a:p>
          <a:pPr>
            <a:defRPr sz="137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chart_1!$B$39</c:f>
              <c:strCache>
                <c:ptCount val="1"/>
                <c:pt idx="0">
                  <c:v>Total</c:v>
                </c:pt>
              </c:strCache>
            </c:strRef>
          </c:tx>
          <c:spPr>
            <a:solidFill>
              <a:schemeClr val="accent1"/>
            </a:solidFill>
            <a:ln>
              <a:noFill/>
            </a:ln>
            <a:effectLst/>
          </c:spPr>
          <c:invertIfNegative val="0"/>
          <c:cat>
            <c:strRef>
              <c:f>chart_1!$A$40:$A$43</c:f>
              <c:strCache>
                <c:ptCount val="3"/>
                <c:pt idx="0">
                  <c:v>Inorganic</c:v>
                </c:pt>
                <c:pt idx="1">
                  <c:v>Mixed</c:v>
                </c:pt>
                <c:pt idx="2">
                  <c:v>Organic</c:v>
                </c:pt>
              </c:strCache>
            </c:strRef>
          </c:cat>
          <c:val>
            <c:numRef>
              <c:f>chart_1!$B$40:$B$43</c:f>
              <c:numCache>
                <c:formatCode>General</c:formatCode>
                <c:ptCount val="3"/>
                <c:pt idx="0">
                  <c:v>4087.12</c:v>
                </c:pt>
                <c:pt idx="1">
                  <c:v>3972.41</c:v>
                </c:pt>
                <c:pt idx="2">
                  <c:v>4039.28</c:v>
                </c:pt>
              </c:numCache>
            </c:numRef>
          </c:val>
        </c:ser>
        <c:dLbls>
          <c:showLegendKey val="0"/>
          <c:showVal val="0"/>
          <c:showCatName val="0"/>
          <c:showSerName val="0"/>
          <c:showPercent val="0"/>
          <c:showBubbleSize val="0"/>
        </c:dLbls>
        <c:gapWidth val="219"/>
        <c:overlap val="-27"/>
        <c:axId val="243030304"/>
        <c:axId val="243024032"/>
      </c:barChart>
      <c:catAx>
        <c:axId val="243030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Fertilizer_Type</a:t>
                </a:r>
              </a:p>
            </c:rich>
          </c:tx>
          <c:layout>
            <c:manualLayout>
              <c:xMode val="edge"/>
              <c:yMode val="edge"/>
              <c:x val="0.39451968503937002"/>
              <c:y val="0.8971988918051909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43024032"/>
        <c:crosses val="autoZero"/>
        <c:auto val="1"/>
        <c:lblAlgn val="ctr"/>
        <c:lblOffset val="100"/>
        <c:noMultiLvlLbl val="0"/>
      </c:catAx>
      <c:valAx>
        <c:axId val="2430240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Avg_Yield</a:t>
                </a:r>
              </a:p>
            </c:rich>
          </c:tx>
          <c:layout>
            <c:manualLayout>
              <c:xMode val="edge"/>
              <c:yMode val="edge"/>
              <c:x val="1.6666666666666666E-2"/>
              <c:y val="0.4245523476232137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43030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[INTERSHIP.xlsx]chart_1!PivotTable4</c:name>
    <c:fmtId val="0"/>
  </c:pivotSource>
  <c:chart>
    <c:title>
      <c:tx>
        <c:rich>
          <a:bodyPr rot="0" spcFirstLastPara="1" vertOverflow="ellipsis" vert="horz" wrap="square" anchor="ctr" anchorCtr="1"/>
          <a:lstStyle/>
          <a:p>
            <a:pPr>
              <a:defRPr sz="1350" b="0" i="0" u="none" strike="noStrike" kern="1200" spc="0" baseline="0">
                <a:solidFill>
                  <a:schemeClr val="tx1"/>
                </a:solidFill>
                <a:latin typeface="+mn-lt"/>
                <a:ea typeface="+mn-ea"/>
                <a:cs typeface="+mn-cs"/>
              </a:defRPr>
            </a:pPr>
            <a:r>
              <a:rPr lang="en-US" sz="1350" baseline="0">
                <a:solidFill>
                  <a:schemeClr val="tx1"/>
                </a:solidFill>
              </a:rPr>
              <a:t>Seasonal Sowing Pattern and Yield Trend Analysis</a:t>
            </a:r>
          </a:p>
        </c:rich>
      </c:tx>
      <c:layout>
        <c:manualLayout>
          <c:xMode val="edge"/>
          <c:yMode val="edge"/>
          <c:x val="0.13787489063867017"/>
          <c:y val="3.138670166229221E-2"/>
        </c:manualLayout>
      </c:layout>
      <c:overlay val="0"/>
      <c:spPr>
        <a:noFill/>
        <a:ln>
          <a:noFill/>
        </a:ln>
        <a:effectLst/>
      </c:spPr>
      <c:txPr>
        <a:bodyPr rot="0" spcFirstLastPara="1" vertOverflow="ellipsis" vert="horz" wrap="square" anchor="ctr" anchorCtr="1"/>
        <a:lstStyle/>
        <a:p>
          <a:pPr>
            <a:defRPr sz="135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chart_1!$B$57</c:f>
              <c:strCache>
                <c:ptCount val="1"/>
                <c:pt idx="0">
                  <c:v>Total</c:v>
                </c:pt>
              </c:strCache>
            </c:strRef>
          </c:tx>
          <c:spPr>
            <a:ln w="28575" cap="rnd">
              <a:solidFill>
                <a:schemeClr val="accent1"/>
              </a:solidFill>
              <a:round/>
            </a:ln>
            <a:effectLst/>
          </c:spPr>
          <c:marker>
            <c:symbol val="none"/>
          </c:marker>
          <c:cat>
            <c:strRef>
              <c:f>chart_1!$A$58:$A$61</c:f>
              <c:strCache>
                <c:ptCount val="3"/>
                <c:pt idx="0">
                  <c:v>February </c:v>
                </c:pt>
                <c:pt idx="1">
                  <c:v>January  </c:v>
                </c:pt>
                <c:pt idx="2">
                  <c:v>March    </c:v>
                </c:pt>
              </c:strCache>
            </c:strRef>
          </c:cat>
          <c:val>
            <c:numRef>
              <c:f>chart_1!$B$58:$B$61</c:f>
              <c:numCache>
                <c:formatCode>General</c:formatCode>
                <c:ptCount val="3"/>
                <c:pt idx="0">
                  <c:v>4110.92</c:v>
                </c:pt>
                <c:pt idx="1">
                  <c:v>4018.53</c:v>
                </c:pt>
                <c:pt idx="2">
                  <c:v>3979.46</c:v>
                </c:pt>
              </c:numCache>
            </c:numRef>
          </c:val>
          <c:smooth val="0"/>
        </c:ser>
        <c:dLbls>
          <c:showLegendKey val="0"/>
          <c:showVal val="0"/>
          <c:showCatName val="0"/>
          <c:showSerName val="0"/>
          <c:showPercent val="0"/>
          <c:showBubbleSize val="0"/>
        </c:dLbls>
        <c:smooth val="0"/>
        <c:axId val="243026384"/>
        <c:axId val="243029912"/>
      </c:lineChart>
      <c:catAx>
        <c:axId val="243026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Sowing_Period</a:t>
                </a:r>
              </a:p>
            </c:rich>
          </c:tx>
          <c:layout>
            <c:manualLayout>
              <c:xMode val="edge"/>
              <c:yMode val="edge"/>
              <c:x val="0.37906124234470689"/>
              <c:y val="0.892569262175561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43029912"/>
        <c:crosses val="autoZero"/>
        <c:auto val="1"/>
        <c:lblAlgn val="ctr"/>
        <c:lblOffset val="100"/>
        <c:noMultiLvlLbl val="0"/>
      </c:catAx>
      <c:valAx>
        <c:axId val="2430299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Avg_Yield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43026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[INTERSHIP.xlsx]chart_1!PivotTable6</c:name>
    <c:fmtId val="0"/>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350" b="0" i="0" u="none" strike="noStrike" kern="1200" spc="0" baseline="0">
                <a:solidFill>
                  <a:schemeClr val="tx1"/>
                </a:solidFill>
                <a:latin typeface="+mn-lt"/>
                <a:ea typeface="+mn-ea"/>
                <a:cs typeface="+mn-cs"/>
              </a:defRPr>
            </a:pPr>
            <a:r>
              <a:rPr lang="en-US" sz="1350" b="0" i="0" baseline="0">
                <a:solidFill>
                  <a:schemeClr val="tx1"/>
                </a:solidFill>
                <a:effectLst/>
              </a:rPr>
              <a:t>Seasonal Harvest Pattern and Yield Trend Analysis</a:t>
            </a:r>
            <a:endParaRPr lang="en-US" sz="1350" baseline="0">
              <a:solidFill>
                <a:schemeClr val="tx1"/>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sz="1350">
                <a:solidFill>
                  <a:schemeClr val="tx1"/>
                </a:solidFill>
              </a:defRPr>
            </a:pPr>
            <a:endParaRPr lang="en-US" sz="1350" baseline="0">
              <a:solidFill>
                <a:schemeClr val="tx1"/>
              </a:solidFill>
            </a:endParaRPr>
          </a:p>
        </c:rich>
      </c:tx>
      <c:layout>
        <c:manualLayout>
          <c:xMode val="edge"/>
          <c:yMode val="edge"/>
          <c:x val="0.14468044619422571"/>
          <c:y val="1.8518518518518517E-2"/>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35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chart_1!$B$73</c:f>
              <c:strCache>
                <c:ptCount val="1"/>
                <c:pt idx="0">
                  <c:v>Total</c:v>
                </c:pt>
              </c:strCache>
            </c:strRef>
          </c:tx>
          <c:spPr>
            <a:ln w="28575" cap="rnd">
              <a:solidFill>
                <a:schemeClr val="accent1"/>
              </a:solidFill>
              <a:round/>
            </a:ln>
            <a:effectLst/>
          </c:spPr>
          <c:marker>
            <c:symbol val="none"/>
          </c:marker>
          <c:cat>
            <c:strRef>
              <c:f>chart_1!$A$74:$A$79</c:f>
              <c:strCache>
                <c:ptCount val="5"/>
                <c:pt idx="0">
                  <c:v>April    </c:v>
                </c:pt>
                <c:pt idx="1">
                  <c:v>August   </c:v>
                </c:pt>
                <c:pt idx="2">
                  <c:v>July     </c:v>
                </c:pt>
                <c:pt idx="3">
                  <c:v>June     </c:v>
                </c:pt>
                <c:pt idx="4">
                  <c:v>May      </c:v>
                </c:pt>
              </c:strCache>
            </c:strRef>
          </c:cat>
          <c:val>
            <c:numRef>
              <c:f>chart_1!$B$74:$B$79</c:f>
              <c:numCache>
                <c:formatCode>General</c:formatCode>
                <c:ptCount val="5"/>
                <c:pt idx="0">
                  <c:v>4029.33</c:v>
                </c:pt>
                <c:pt idx="1">
                  <c:v>4196.2</c:v>
                </c:pt>
                <c:pt idx="2">
                  <c:v>3996.02</c:v>
                </c:pt>
                <c:pt idx="3">
                  <c:v>3978.36</c:v>
                </c:pt>
                <c:pt idx="4">
                  <c:v>4114.6000000000004</c:v>
                </c:pt>
              </c:numCache>
            </c:numRef>
          </c:val>
          <c:smooth val="0"/>
        </c:ser>
        <c:dLbls>
          <c:showLegendKey val="0"/>
          <c:showVal val="0"/>
          <c:showCatName val="0"/>
          <c:showSerName val="0"/>
          <c:showPercent val="0"/>
          <c:showBubbleSize val="0"/>
        </c:dLbls>
        <c:smooth val="0"/>
        <c:axId val="242328304"/>
        <c:axId val="242331048"/>
      </c:lineChart>
      <c:catAx>
        <c:axId val="242328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Harvest_period</a:t>
                </a:r>
              </a:p>
            </c:rich>
          </c:tx>
          <c:layout>
            <c:manualLayout>
              <c:xMode val="edge"/>
              <c:yMode val="edge"/>
              <c:x val="0.42016535433070867"/>
              <c:y val="0.892569262175561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42331048"/>
        <c:crosses val="autoZero"/>
        <c:auto val="1"/>
        <c:lblAlgn val="ctr"/>
        <c:lblOffset val="100"/>
        <c:noMultiLvlLbl val="0"/>
      </c:catAx>
      <c:valAx>
        <c:axId val="2423310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Avg_Yield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42328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[INTERSHIP.xlsx]chart_1!PivotTable8</c:name>
    <c:fmtId val="0"/>
  </c:pivotSource>
  <c:chart>
    <c:title>
      <c:tx>
        <c:rich>
          <a:bodyPr rot="0" spcFirstLastPara="1" vertOverflow="ellipsis" vert="horz" wrap="square" anchor="ctr" anchorCtr="1"/>
          <a:lstStyle/>
          <a:p>
            <a:pPr>
              <a:defRPr sz="1270" b="0" i="0" u="none" strike="noStrike" kern="1200" spc="0" baseline="0">
                <a:solidFill>
                  <a:schemeClr val="tx1"/>
                </a:solidFill>
                <a:latin typeface="+mn-lt"/>
                <a:ea typeface="+mn-ea"/>
                <a:cs typeface="+mn-cs"/>
              </a:defRPr>
            </a:pPr>
            <a:r>
              <a:rPr lang="en-US" sz="1270" baseline="0">
                <a:solidFill>
                  <a:schemeClr val="tx1"/>
                </a:solidFill>
              </a:rPr>
              <a:t>Crop Disease Impact and Yield Performance Analysis</a:t>
            </a:r>
          </a:p>
        </c:rich>
      </c:tx>
      <c:overlay val="0"/>
      <c:spPr>
        <a:noFill/>
        <a:ln>
          <a:noFill/>
        </a:ln>
        <a:effectLst/>
      </c:spPr>
      <c:txPr>
        <a:bodyPr rot="0" spcFirstLastPara="1" vertOverflow="ellipsis" vert="horz" wrap="square" anchor="ctr" anchorCtr="1"/>
        <a:lstStyle/>
        <a:p>
          <a:pPr>
            <a:defRPr sz="127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chart_1!$B$92</c:f>
              <c:strCache>
                <c:ptCount val="1"/>
                <c:pt idx="0">
                  <c:v>Total</c:v>
                </c:pt>
              </c:strCache>
            </c:strRef>
          </c:tx>
          <c:spPr>
            <a:solidFill>
              <a:schemeClr val="accent1"/>
            </a:solidFill>
            <a:ln>
              <a:noFill/>
            </a:ln>
            <a:effectLst/>
          </c:spPr>
          <c:invertIfNegative val="0"/>
          <c:cat>
            <c:strRef>
              <c:f>chart_1!$A$93:$A$97</c:f>
              <c:strCache>
                <c:ptCount val="4"/>
                <c:pt idx="0">
                  <c:v>Mild</c:v>
                </c:pt>
                <c:pt idx="1">
                  <c:v>Moderate</c:v>
                </c:pt>
                <c:pt idx="2">
                  <c:v>None</c:v>
                </c:pt>
                <c:pt idx="3">
                  <c:v>Severe</c:v>
                </c:pt>
              </c:strCache>
            </c:strRef>
          </c:cat>
          <c:val>
            <c:numRef>
              <c:f>chart_1!$B$93:$B$97</c:f>
              <c:numCache>
                <c:formatCode>General</c:formatCode>
                <c:ptCount val="4"/>
                <c:pt idx="0">
                  <c:v>20460.34</c:v>
                </c:pt>
                <c:pt idx="1">
                  <c:v>19594.099999999999</c:v>
                </c:pt>
                <c:pt idx="2">
                  <c:v>20340.71</c:v>
                </c:pt>
                <c:pt idx="3">
                  <c:v>20154.89</c:v>
                </c:pt>
              </c:numCache>
            </c:numRef>
          </c:val>
        </c:ser>
        <c:dLbls>
          <c:showLegendKey val="0"/>
          <c:showVal val="0"/>
          <c:showCatName val="0"/>
          <c:showSerName val="0"/>
          <c:showPercent val="0"/>
          <c:showBubbleSize val="0"/>
        </c:dLbls>
        <c:gapWidth val="182"/>
        <c:axId val="242331832"/>
        <c:axId val="242327520"/>
      </c:barChart>
      <c:catAx>
        <c:axId val="2423318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Crop_Disease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42327520"/>
        <c:crosses val="autoZero"/>
        <c:auto val="1"/>
        <c:lblAlgn val="ctr"/>
        <c:lblOffset val="100"/>
        <c:noMultiLvlLbl val="0"/>
      </c:catAx>
      <c:valAx>
        <c:axId val="242327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Avg_Yield</a:t>
                </a:r>
              </a:p>
            </c:rich>
          </c:tx>
          <c:layout>
            <c:manualLayout>
              <c:xMode val="edge"/>
              <c:yMode val="edge"/>
              <c:x val="0.46372112860892378"/>
              <c:y val="0.901828521434820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42331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[INTERSHIP.xlsx]chart_1!PivotTable5</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Seasonal Yield Performance Trend</a:t>
            </a:r>
          </a:p>
        </c:rich>
      </c:tx>
      <c:layout>
        <c:manualLayout>
          <c:xMode val="edge"/>
          <c:yMode val="edge"/>
          <c:x val="0.20476377952755906"/>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chart_1!$B$109</c:f>
              <c:strCache>
                <c:ptCount val="1"/>
                <c:pt idx="0">
                  <c:v>Total</c:v>
                </c:pt>
              </c:strCache>
            </c:strRef>
          </c:tx>
          <c:spPr>
            <a:ln w="28575" cap="rnd">
              <a:solidFill>
                <a:schemeClr val="accent1"/>
              </a:solidFill>
              <a:round/>
            </a:ln>
            <a:effectLst/>
          </c:spPr>
          <c:marker>
            <c:symbol val="none"/>
          </c:marker>
          <c:cat>
            <c:strRef>
              <c:f>chart_1!$A$110:$A$115</c:f>
              <c:strCache>
                <c:ptCount val="5"/>
                <c:pt idx="0">
                  <c:v>April</c:v>
                </c:pt>
                <c:pt idx="1">
                  <c:v>May</c:v>
                </c:pt>
                <c:pt idx="2">
                  <c:v>June</c:v>
                </c:pt>
                <c:pt idx="3">
                  <c:v>July</c:v>
                </c:pt>
                <c:pt idx="4">
                  <c:v>August</c:v>
                </c:pt>
              </c:strCache>
            </c:strRef>
          </c:cat>
          <c:val>
            <c:numRef>
              <c:f>chart_1!$B$110:$B$115</c:f>
              <c:numCache>
                <c:formatCode>General</c:formatCode>
                <c:ptCount val="5"/>
                <c:pt idx="0">
                  <c:v>4029.33</c:v>
                </c:pt>
                <c:pt idx="1">
                  <c:v>4114.6000000000004</c:v>
                </c:pt>
                <c:pt idx="2">
                  <c:v>3978.36</c:v>
                </c:pt>
                <c:pt idx="3">
                  <c:v>3996.02</c:v>
                </c:pt>
                <c:pt idx="4">
                  <c:v>4196.2</c:v>
                </c:pt>
              </c:numCache>
            </c:numRef>
          </c:val>
          <c:smooth val="0"/>
        </c:ser>
        <c:dLbls>
          <c:showLegendKey val="0"/>
          <c:showVal val="0"/>
          <c:showCatName val="0"/>
          <c:showSerName val="0"/>
          <c:showPercent val="0"/>
          <c:showBubbleSize val="0"/>
        </c:dLbls>
        <c:smooth val="0"/>
        <c:axId val="242327912"/>
        <c:axId val="242333792"/>
      </c:lineChart>
      <c:catAx>
        <c:axId val="242327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Harvest_Months</a:t>
                </a:r>
              </a:p>
            </c:rich>
          </c:tx>
          <c:layout>
            <c:manualLayout>
              <c:xMode val="edge"/>
              <c:yMode val="edge"/>
              <c:x val="0.39295013123359579"/>
              <c:y val="0.916738116068824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42333792"/>
        <c:crosses val="autoZero"/>
        <c:auto val="1"/>
        <c:lblAlgn val="ctr"/>
        <c:lblOffset val="100"/>
        <c:noMultiLvlLbl val="0"/>
      </c:catAx>
      <c:valAx>
        <c:axId val="2423337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Avg_Yield</a:t>
                </a:r>
              </a:p>
            </c:rich>
          </c:tx>
          <c:layout>
            <c:manualLayout>
              <c:xMode val="edge"/>
              <c:yMode val="edge"/>
              <c:x val="1.1111111111111112E-2"/>
              <c:y val="0.384992344706911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423279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[INTERSHIP.xlsx]chart_1!PivotTable1</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Regional Yield Performance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chart_1!$B$2</c:f>
              <c:strCache>
                <c:ptCount val="1"/>
                <c:pt idx="0">
                  <c:v>Total</c:v>
                </c:pt>
              </c:strCache>
            </c:strRef>
          </c:tx>
          <c:spPr>
            <a:solidFill>
              <a:schemeClr val="accent1"/>
            </a:solidFill>
            <a:ln>
              <a:noFill/>
            </a:ln>
            <a:effectLst/>
          </c:spPr>
          <c:invertIfNegative val="0"/>
          <c:cat>
            <c:strRef>
              <c:f>chart_1!$A$3:$A$8</c:f>
              <c:strCache>
                <c:ptCount val="5"/>
                <c:pt idx="0">
                  <c:v>Central USA</c:v>
                </c:pt>
                <c:pt idx="1">
                  <c:v>East Africa</c:v>
                </c:pt>
                <c:pt idx="2">
                  <c:v>North India</c:v>
                </c:pt>
                <c:pt idx="3">
                  <c:v>South India</c:v>
                </c:pt>
                <c:pt idx="4">
                  <c:v>South USA</c:v>
                </c:pt>
              </c:strCache>
            </c:strRef>
          </c:cat>
          <c:val>
            <c:numRef>
              <c:f>chart_1!$B$3:$B$8</c:f>
              <c:numCache>
                <c:formatCode>General</c:formatCode>
                <c:ptCount val="5"/>
                <c:pt idx="0">
                  <c:v>437426.1</c:v>
                </c:pt>
                <c:pt idx="1">
                  <c:v>433690.74</c:v>
                </c:pt>
                <c:pt idx="2">
                  <c:v>395625.94</c:v>
                </c:pt>
                <c:pt idx="3">
                  <c:v>375182.5</c:v>
                </c:pt>
                <c:pt idx="4">
                  <c:v>374538.19</c:v>
                </c:pt>
              </c:numCache>
            </c:numRef>
          </c:val>
        </c:ser>
        <c:dLbls>
          <c:showLegendKey val="0"/>
          <c:showVal val="0"/>
          <c:showCatName val="0"/>
          <c:showSerName val="0"/>
          <c:showPercent val="0"/>
          <c:showBubbleSize val="0"/>
        </c:dLbls>
        <c:gapWidth val="219"/>
        <c:axId val="242334968"/>
        <c:axId val="320558528"/>
      </c:barChart>
      <c:catAx>
        <c:axId val="2423349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Region</a:t>
                </a:r>
              </a:p>
            </c:rich>
          </c:tx>
          <c:layout>
            <c:manualLayout>
              <c:xMode val="edge"/>
              <c:yMode val="edge"/>
              <c:x val="1.2731896884982399E-2"/>
              <c:y val="0.4194079128199323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0558528"/>
        <c:crosses val="autoZero"/>
        <c:auto val="1"/>
        <c:lblAlgn val="ctr"/>
        <c:lblOffset val="100"/>
        <c:noMultiLvlLbl val="0"/>
      </c:catAx>
      <c:valAx>
        <c:axId val="320558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Avg_Yield</a:t>
                </a:r>
              </a:p>
            </c:rich>
          </c:tx>
          <c:layout>
            <c:manualLayout>
              <c:xMode val="edge"/>
              <c:yMode val="edge"/>
              <c:x val="0.40931046409896443"/>
              <c:y val="0.90470209704279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423349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[INTERSHIP.xlsx]chart_1!PivotTable2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Crop Yield Distribution Across Regions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chart_1!$B$24</c:f>
              <c:strCache>
                <c:ptCount val="1"/>
                <c:pt idx="0">
                  <c:v>Total</c:v>
                </c:pt>
              </c:strCache>
            </c:strRef>
          </c:tx>
          <c:spPr>
            <a:solidFill>
              <a:schemeClr val="accent1"/>
            </a:solidFill>
            <a:ln>
              <a:noFill/>
            </a:ln>
            <a:effectLst/>
          </c:spPr>
          <c:invertIfNegative val="0"/>
          <c:cat>
            <c:strRef>
              <c:f>chart_1!$A$25:$A$30</c:f>
              <c:strCache>
                <c:ptCount val="5"/>
                <c:pt idx="0">
                  <c:v>Cotton</c:v>
                </c:pt>
                <c:pt idx="1">
                  <c:v>Maize</c:v>
                </c:pt>
                <c:pt idx="2">
                  <c:v>Rice</c:v>
                </c:pt>
                <c:pt idx="3">
                  <c:v>Soybean</c:v>
                </c:pt>
                <c:pt idx="4">
                  <c:v>Wheat</c:v>
                </c:pt>
              </c:strCache>
            </c:strRef>
          </c:cat>
          <c:val>
            <c:numRef>
              <c:f>chart_1!$B$25:$B$30</c:f>
              <c:numCache>
                <c:formatCode>General</c:formatCode>
                <c:ptCount val="5"/>
                <c:pt idx="0">
                  <c:v>420039.53</c:v>
                </c:pt>
                <c:pt idx="1">
                  <c:v>442063.48</c:v>
                </c:pt>
                <c:pt idx="2">
                  <c:v>319486.76</c:v>
                </c:pt>
                <c:pt idx="3">
                  <c:v>459735.92</c:v>
                </c:pt>
                <c:pt idx="4">
                  <c:v>375137.78</c:v>
                </c:pt>
              </c:numCache>
            </c:numRef>
          </c:val>
        </c:ser>
        <c:dLbls>
          <c:showLegendKey val="0"/>
          <c:showVal val="0"/>
          <c:showCatName val="0"/>
          <c:showSerName val="0"/>
          <c:showPercent val="0"/>
          <c:showBubbleSize val="0"/>
        </c:dLbls>
        <c:gapWidth val="219"/>
        <c:overlap val="-27"/>
        <c:axId val="320560880"/>
        <c:axId val="320556960"/>
      </c:barChart>
      <c:catAx>
        <c:axId val="320560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Crop_Type</a:t>
                </a:r>
              </a:p>
            </c:rich>
          </c:tx>
          <c:layout>
            <c:manualLayout>
              <c:xMode val="edge"/>
              <c:yMode val="edge"/>
              <c:x val="0.41174868766404205"/>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0556960"/>
        <c:crosses val="autoZero"/>
        <c:auto val="1"/>
        <c:lblAlgn val="ctr"/>
        <c:lblOffset val="100"/>
        <c:noMultiLvlLbl val="0"/>
      </c:catAx>
      <c:valAx>
        <c:axId val="320556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Avg_Yield</a:t>
                </a:r>
              </a:p>
            </c:rich>
          </c:tx>
          <c:layout>
            <c:manualLayout>
              <c:xMode val="edge"/>
              <c:yMode val="edge"/>
              <c:x val="2.2222222222222223E-2"/>
              <c:y val="0.343325678040244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0560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[INTERSHIP.xlsx]chart_1!PivotTable3</c:name>
    <c:fmtId val="3"/>
  </c:pivotSource>
  <c:chart>
    <c:title>
      <c:tx>
        <c:rich>
          <a:bodyPr rot="0" spcFirstLastPara="1" vertOverflow="ellipsis" vert="horz" wrap="square" anchor="ctr" anchorCtr="1"/>
          <a:lstStyle/>
          <a:p>
            <a:pPr>
              <a:defRPr sz="1370" b="0" i="0" u="none" strike="noStrike" kern="1200" spc="0" baseline="0">
                <a:solidFill>
                  <a:schemeClr val="tx1"/>
                </a:solidFill>
                <a:latin typeface="+mn-lt"/>
                <a:ea typeface="+mn-ea"/>
                <a:cs typeface="+mn-cs"/>
              </a:defRPr>
            </a:pPr>
            <a:r>
              <a:rPr lang="en-US" sz="1370" baseline="0">
                <a:solidFill>
                  <a:schemeClr val="tx1"/>
                </a:solidFill>
              </a:rPr>
              <a:t>Fertilizer Efficiency and Yield Optimization Analysis</a:t>
            </a:r>
          </a:p>
        </c:rich>
      </c:tx>
      <c:layout>
        <c:manualLayout>
          <c:xMode val="edge"/>
          <c:yMode val="edge"/>
          <c:x val="0.16387489063867017"/>
          <c:y val="2.7777777777777776E-2"/>
        </c:manualLayout>
      </c:layout>
      <c:overlay val="0"/>
      <c:spPr>
        <a:noFill/>
        <a:ln>
          <a:noFill/>
        </a:ln>
        <a:effectLst/>
      </c:spPr>
      <c:txPr>
        <a:bodyPr rot="0" spcFirstLastPara="1" vertOverflow="ellipsis" vert="horz" wrap="square" anchor="ctr" anchorCtr="1"/>
        <a:lstStyle/>
        <a:p>
          <a:pPr>
            <a:defRPr sz="137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chart_1!$B$39</c:f>
              <c:strCache>
                <c:ptCount val="1"/>
                <c:pt idx="0">
                  <c:v>Total</c:v>
                </c:pt>
              </c:strCache>
            </c:strRef>
          </c:tx>
          <c:spPr>
            <a:solidFill>
              <a:schemeClr val="accent1"/>
            </a:solidFill>
            <a:ln>
              <a:noFill/>
            </a:ln>
            <a:effectLst/>
          </c:spPr>
          <c:invertIfNegative val="0"/>
          <c:cat>
            <c:strRef>
              <c:f>chart_1!$A$40:$A$43</c:f>
              <c:strCache>
                <c:ptCount val="3"/>
                <c:pt idx="0">
                  <c:v>Inorganic</c:v>
                </c:pt>
                <c:pt idx="1">
                  <c:v>Mixed</c:v>
                </c:pt>
                <c:pt idx="2">
                  <c:v>Organic</c:v>
                </c:pt>
              </c:strCache>
            </c:strRef>
          </c:cat>
          <c:val>
            <c:numRef>
              <c:f>chart_1!$B$40:$B$43</c:f>
              <c:numCache>
                <c:formatCode>General</c:formatCode>
                <c:ptCount val="3"/>
                <c:pt idx="0">
                  <c:v>4087.12</c:v>
                </c:pt>
                <c:pt idx="1">
                  <c:v>3972.41</c:v>
                </c:pt>
                <c:pt idx="2">
                  <c:v>4039.28</c:v>
                </c:pt>
              </c:numCache>
            </c:numRef>
          </c:val>
        </c:ser>
        <c:dLbls>
          <c:showLegendKey val="0"/>
          <c:showVal val="0"/>
          <c:showCatName val="0"/>
          <c:showSerName val="0"/>
          <c:showPercent val="0"/>
          <c:showBubbleSize val="0"/>
        </c:dLbls>
        <c:gapWidth val="219"/>
        <c:overlap val="-27"/>
        <c:axId val="320562056"/>
        <c:axId val="320555784"/>
      </c:barChart>
      <c:catAx>
        <c:axId val="320562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Fertilizer_Type</a:t>
                </a:r>
              </a:p>
            </c:rich>
          </c:tx>
          <c:layout>
            <c:manualLayout>
              <c:xMode val="edge"/>
              <c:yMode val="edge"/>
              <c:x val="0.39451968503937002"/>
              <c:y val="0.8971988918051909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0555784"/>
        <c:crosses val="autoZero"/>
        <c:auto val="1"/>
        <c:lblAlgn val="ctr"/>
        <c:lblOffset val="100"/>
        <c:noMultiLvlLbl val="0"/>
      </c:catAx>
      <c:valAx>
        <c:axId val="3205557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Avg_Yield</a:t>
                </a:r>
              </a:p>
            </c:rich>
          </c:tx>
          <c:layout>
            <c:manualLayout>
              <c:xMode val="edge"/>
              <c:yMode val="edge"/>
              <c:x val="1.6666666666666666E-2"/>
              <c:y val="0.4245523476232137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0562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[INTERSHIP.xlsx]chart_1!PivotTable4</c:name>
    <c:fmtId val="3"/>
  </c:pivotSource>
  <c:chart>
    <c:title>
      <c:tx>
        <c:rich>
          <a:bodyPr rot="0" spcFirstLastPara="1" vertOverflow="ellipsis" vert="horz" wrap="square" anchor="ctr" anchorCtr="1"/>
          <a:lstStyle/>
          <a:p>
            <a:pPr>
              <a:defRPr sz="1350" b="0" i="0" u="none" strike="noStrike" kern="1200" spc="0" baseline="0">
                <a:solidFill>
                  <a:schemeClr val="tx1"/>
                </a:solidFill>
                <a:latin typeface="+mn-lt"/>
                <a:ea typeface="+mn-ea"/>
                <a:cs typeface="+mn-cs"/>
              </a:defRPr>
            </a:pPr>
            <a:r>
              <a:rPr lang="en-US" sz="1350" baseline="0">
                <a:solidFill>
                  <a:schemeClr val="tx1"/>
                </a:solidFill>
              </a:rPr>
              <a:t>Seasonal Sowing Pattern and Yield Trend Analysis</a:t>
            </a:r>
          </a:p>
        </c:rich>
      </c:tx>
      <c:layout>
        <c:manualLayout>
          <c:xMode val="edge"/>
          <c:yMode val="edge"/>
          <c:x val="0.13787489063867017"/>
          <c:y val="3.138670166229221E-2"/>
        </c:manualLayout>
      </c:layout>
      <c:overlay val="0"/>
      <c:spPr>
        <a:noFill/>
        <a:ln>
          <a:noFill/>
        </a:ln>
        <a:effectLst/>
      </c:spPr>
      <c:txPr>
        <a:bodyPr rot="0" spcFirstLastPara="1" vertOverflow="ellipsis" vert="horz" wrap="square" anchor="ctr" anchorCtr="1"/>
        <a:lstStyle/>
        <a:p>
          <a:pPr>
            <a:defRPr sz="135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chart_1!$B$57</c:f>
              <c:strCache>
                <c:ptCount val="1"/>
                <c:pt idx="0">
                  <c:v>Total</c:v>
                </c:pt>
              </c:strCache>
            </c:strRef>
          </c:tx>
          <c:spPr>
            <a:ln w="28575" cap="rnd">
              <a:solidFill>
                <a:schemeClr val="accent1"/>
              </a:solidFill>
              <a:round/>
            </a:ln>
            <a:effectLst/>
          </c:spPr>
          <c:marker>
            <c:symbol val="none"/>
          </c:marker>
          <c:cat>
            <c:strRef>
              <c:f>chart_1!$A$58:$A$61</c:f>
              <c:strCache>
                <c:ptCount val="3"/>
                <c:pt idx="0">
                  <c:v>February </c:v>
                </c:pt>
                <c:pt idx="1">
                  <c:v>January  </c:v>
                </c:pt>
                <c:pt idx="2">
                  <c:v>March    </c:v>
                </c:pt>
              </c:strCache>
            </c:strRef>
          </c:cat>
          <c:val>
            <c:numRef>
              <c:f>chart_1!$B$58:$B$61</c:f>
              <c:numCache>
                <c:formatCode>General</c:formatCode>
                <c:ptCount val="3"/>
                <c:pt idx="0">
                  <c:v>4110.92</c:v>
                </c:pt>
                <c:pt idx="1">
                  <c:v>4018.53</c:v>
                </c:pt>
                <c:pt idx="2">
                  <c:v>3979.46</c:v>
                </c:pt>
              </c:numCache>
            </c:numRef>
          </c:val>
          <c:smooth val="0"/>
        </c:ser>
        <c:dLbls>
          <c:showLegendKey val="0"/>
          <c:showVal val="0"/>
          <c:showCatName val="0"/>
          <c:showSerName val="0"/>
          <c:showPercent val="0"/>
          <c:showBubbleSize val="0"/>
        </c:dLbls>
        <c:smooth val="0"/>
        <c:axId val="320555000"/>
        <c:axId val="320556176"/>
      </c:lineChart>
      <c:catAx>
        <c:axId val="320555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Sowing_Period</a:t>
                </a:r>
              </a:p>
            </c:rich>
          </c:tx>
          <c:layout>
            <c:manualLayout>
              <c:xMode val="edge"/>
              <c:yMode val="edge"/>
              <c:x val="0.37906124234470689"/>
              <c:y val="0.892569262175561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0556176"/>
        <c:crosses val="autoZero"/>
        <c:auto val="1"/>
        <c:lblAlgn val="ctr"/>
        <c:lblOffset val="100"/>
        <c:noMultiLvlLbl val="0"/>
      </c:catAx>
      <c:valAx>
        <c:axId val="3205561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Avg_Yield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0555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[INTERSHIP.xlsx]chart_1!PivotTable6</c:name>
    <c:fmtId val="3"/>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350" b="0" i="0" u="none" strike="noStrike" kern="1200" spc="0" baseline="0">
                <a:solidFill>
                  <a:schemeClr val="tx1"/>
                </a:solidFill>
                <a:latin typeface="+mn-lt"/>
                <a:ea typeface="+mn-ea"/>
                <a:cs typeface="+mn-cs"/>
              </a:defRPr>
            </a:pPr>
            <a:r>
              <a:rPr lang="en-US" sz="1350" b="0" i="0" baseline="0">
                <a:solidFill>
                  <a:schemeClr val="tx1"/>
                </a:solidFill>
                <a:effectLst/>
              </a:rPr>
              <a:t>Seasonal Harvest Pattern and Yield Trend Analysis</a:t>
            </a:r>
            <a:endParaRPr lang="en-US" sz="1350" baseline="0">
              <a:solidFill>
                <a:schemeClr val="tx1"/>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sz="1350">
                <a:solidFill>
                  <a:schemeClr val="tx1"/>
                </a:solidFill>
              </a:defRPr>
            </a:pPr>
            <a:endParaRPr lang="en-US" sz="1350" baseline="0">
              <a:solidFill>
                <a:schemeClr val="tx1"/>
              </a:solidFill>
            </a:endParaRPr>
          </a:p>
        </c:rich>
      </c:tx>
      <c:layout>
        <c:manualLayout>
          <c:xMode val="edge"/>
          <c:yMode val="edge"/>
          <c:x val="0.14468044619422571"/>
          <c:y val="1.8518518518518517E-2"/>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35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chart_1!$B$73</c:f>
              <c:strCache>
                <c:ptCount val="1"/>
                <c:pt idx="0">
                  <c:v>Total</c:v>
                </c:pt>
              </c:strCache>
            </c:strRef>
          </c:tx>
          <c:spPr>
            <a:ln w="28575" cap="rnd">
              <a:solidFill>
                <a:schemeClr val="accent1"/>
              </a:solidFill>
              <a:round/>
            </a:ln>
            <a:effectLst/>
          </c:spPr>
          <c:marker>
            <c:symbol val="none"/>
          </c:marker>
          <c:cat>
            <c:strRef>
              <c:f>chart_1!$A$74:$A$79</c:f>
              <c:strCache>
                <c:ptCount val="5"/>
                <c:pt idx="0">
                  <c:v>April    </c:v>
                </c:pt>
                <c:pt idx="1">
                  <c:v>August   </c:v>
                </c:pt>
                <c:pt idx="2">
                  <c:v>July     </c:v>
                </c:pt>
                <c:pt idx="3">
                  <c:v>June     </c:v>
                </c:pt>
                <c:pt idx="4">
                  <c:v>May      </c:v>
                </c:pt>
              </c:strCache>
            </c:strRef>
          </c:cat>
          <c:val>
            <c:numRef>
              <c:f>chart_1!$B$74:$B$79</c:f>
              <c:numCache>
                <c:formatCode>General</c:formatCode>
                <c:ptCount val="5"/>
                <c:pt idx="0">
                  <c:v>4029.33</c:v>
                </c:pt>
                <c:pt idx="1">
                  <c:v>4196.2</c:v>
                </c:pt>
                <c:pt idx="2">
                  <c:v>3996.02</c:v>
                </c:pt>
                <c:pt idx="3">
                  <c:v>3978.36</c:v>
                </c:pt>
                <c:pt idx="4">
                  <c:v>4114.6000000000004</c:v>
                </c:pt>
              </c:numCache>
            </c:numRef>
          </c:val>
          <c:smooth val="0"/>
        </c:ser>
        <c:dLbls>
          <c:showLegendKey val="0"/>
          <c:showVal val="0"/>
          <c:showCatName val="0"/>
          <c:showSerName val="0"/>
          <c:showPercent val="0"/>
          <c:showBubbleSize val="0"/>
        </c:dLbls>
        <c:smooth val="0"/>
        <c:axId val="320554608"/>
        <c:axId val="320556568"/>
      </c:lineChart>
      <c:catAx>
        <c:axId val="320554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Harvest_period</a:t>
                </a:r>
              </a:p>
            </c:rich>
          </c:tx>
          <c:layout>
            <c:manualLayout>
              <c:xMode val="edge"/>
              <c:yMode val="edge"/>
              <c:x val="0.42016535433070867"/>
              <c:y val="0.892569262175561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0556568"/>
        <c:crosses val="autoZero"/>
        <c:auto val="1"/>
        <c:lblAlgn val="ctr"/>
        <c:lblOffset val="100"/>
        <c:noMultiLvlLbl val="0"/>
      </c:catAx>
      <c:valAx>
        <c:axId val="3205565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Avg_Yield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0554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[INTERSHIP.xlsx]chart_1!PivotTable8</c:name>
    <c:fmtId val="3"/>
  </c:pivotSource>
  <c:chart>
    <c:title>
      <c:tx>
        <c:rich>
          <a:bodyPr rot="0" spcFirstLastPara="1" vertOverflow="ellipsis" vert="horz" wrap="square" anchor="ctr" anchorCtr="1"/>
          <a:lstStyle/>
          <a:p>
            <a:pPr>
              <a:defRPr sz="1270" b="0" i="0" u="none" strike="noStrike" kern="1200" spc="0" baseline="0">
                <a:solidFill>
                  <a:schemeClr val="tx1"/>
                </a:solidFill>
                <a:latin typeface="+mn-lt"/>
                <a:ea typeface="+mn-ea"/>
                <a:cs typeface="+mn-cs"/>
              </a:defRPr>
            </a:pPr>
            <a:r>
              <a:rPr lang="en-US" sz="1270" baseline="0">
                <a:solidFill>
                  <a:schemeClr val="tx1"/>
                </a:solidFill>
              </a:rPr>
              <a:t>Crop Disease Impact and Yield Performance Analysis</a:t>
            </a:r>
          </a:p>
        </c:rich>
      </c:tx>
      <c:overlay val="0"/>
      <c:spPr>
        <a:noFill/>
        <a:ln>
          <a:noFill/>
        </a:ln>
        <a:effectLst/>
      </c:spPr>
      <c:txPr>
        <a:bodyPr rot="0" spcFirstLastPara="1" vertOverflow="ellipsis" vert="horz" wrap="square" anchor="ctr" anchorCtr="1"/>
        <a:lstStyle/>
        <a:p>
          <a:pPr>
            <a:defRPr sz="127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chart_1!$B$92</c:f>
              <c:strCache>
                <c:ptCount val="1"/>
                <c:pt idx="0">
                  <c:v>Total</c:v>
                </c:pt>
              </c:strCache>
            </c:strRef>
          </c:tx>
          <c:spPr>
            <a:solidFill>
              <a:schemeClr val="accent1"/>
            </a:solidFill>
            <a:ln>
              <a:noFill/>
            </a:ln>
            <a:effectLst/>
          </c:spPr>
          <c:invertIfNegative val="0"/>
          <c:cat>
            <c:strRef>
              <c:f>chart_1!$A$93:$A$97</c:f>
              <c:strCache>
                <c:ptCount val="4"/>
                <c:pt idx="0">
                  <c:v>Mild</c:v>
                </c:pt>
                <c:pt idx="1">
                  <c:v>Moderate</c:v>
                </c:pt>
                <c:pt idx="2">
                  <c:v>None</c:v>
                </c:pt>
                <c:pt idx="3">
                  <c:v>Severe</c:v>
                </c:pt>
              </c:strCache>
            </c:strRef>
          </c:cat>
          <c:val>
            <c:numRef>
              <c:f>chart_1!$B$93:$B$97</c:f>
              <c:numCache>
                <c:formatCode>General</c:formatCode>
                <c:ptCount val="4"/>
                <c:pt idx="0">
                  <c:v>20460.34</c:v>
                </c:pt>
                <c:pt idx="1">
                  <c:v>19594.099999999999</c:v>
                </c:pt>
                <c:pt idx="2">
                  <c:v>20340.71</c:v>
                </c:pt>
                <c:pt idx="3">
                  <c:v>20154.89</c:v>
                </c:pt>
              </c:numCache>
            </c:numRef>
          </c:val>
        </c:ser>
        <c:dLbls>
          <c:showLegendKey val="0"/>
          <c:showVal val="0"/>
          <c:showCatName val="0"/>
          <c:showSerName val="0"/>
          <c:showPercent val="0"/>
          <c:showBubbleSize val="0"/>
        </c:dLbls>
        <c:gapWidth val="182"/>
        <c:axId val="320560096"/>
        <c:axId val="320557352"/>
      </c:barChart>
      <c:catAx>
        <c:axId val="3205600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Crop_Disease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0557352"/>
        <c:crosses val="autoZero"/>
        <c:auto val="1"/>
        <c:lblAlgn val="ctr"/>
        <c:lblOffset val="100"/>
        <c:noMultiLvlLbl val="0"/>
      </c:catAx>
      <c:valAx>
        <c:axId val="320557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aseline="0">
                    <a:solidFill>
                      <a:schemeClr val="tx1"/>
                    </a:solidFill>
                  </a:rPr>
                  <a:t>Avg_Yield</a:t>
                </a:r>
              </a:p>
            </c:rich>
          </c:tx>
          <c:layout>
            <c:manualLayout>
              <c:xMode val="edge"/>
              <c:yMode val="edge"/>
              <c:x val="0.46372112860892378"/>
              <c:y val="0.901828521434820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0560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[INTERSHIP.xlsx]Chart!PivotTable1</c:name>
    <c:fmtId val="3"/>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2500" b="0" i="0" u="none" strike="noStrike" kern="1200" spc="0" baseline="0">
                <a:solidFill>
                  <a:schemeClr val="tx1"/>
                </a:solidFill>
                <a:latin typeface="Sitka Heading Semibold" pitchFamily="2" charset="0"/>
                <a:ea typeface="+mn-ea"/>
                <a:cs typeface="+mn-cs"/>
              </a:defRPr>
            </a:pPr>
            <a:r>
              <a:rPr lang="en-US" sz="2500" b="0" i="0" baseline="0">
                <a:solidFill>
                  <a:schemeClr val="tx1"/>
                </a:solidFill>
                <a:effectLst/>
                <a:latin typeface="Sitka Heading Semibold" pitchFamily="2" charset="0"/>
              </a:rPr>
              <a:t>Monthly Crop Yield Trend Analysis</a:t>
            </a:r>
            <a:endParaRPr lang="en-US" sz="2500" baseline="0">
              <a:solidFill>
                <a:schemeClr val="tx1"/>
              </a:solidFill>
              <a:effectLst/>
              <a:latin typeface="Sitka Heading Semibold" pitchFamily="2" charset="0"/>
            </a:endParaRPr>
          </a:p>
        </c:rich>
      </c:tx>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2500" b="0" i="0" u="none" strike="noStrike" kern="1200" spc="0" baseline="0">
              <a:solidFill>
                <a:schemeClr val="tx1"/>
              </a:solidFill>
              <a:latin typeface="Sitka Heading Semibold" pitchFamily="2"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63500" cap="rnd">
            <a:solidFill>
              <a:srgbClr val="008000"/>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3"/>
        <c:spPr>
          <a:ln w="63500" cap="rnd">
            <a:solidFill>
              <a:srgbClr val="008000"/>
            </a:solidFill>
            <a:round/>
          </a:ln>
          <a:effectLst/>
        </c:spPr>
        <c:marker>
          <c:symbol val="none"/>
        </c:marker>
        <c:dLbl>
          <c:idx val="0"/>
          <c:layout>
            <c:manualLayout>
              <c:x val="-4.7812753446877625E-2"/>
              <c:y val="-6.5629424348027265E-2"/>
            </c:manualLayout>
          </c:layout>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ln w="63500" cap="rnd">
            <a:solidFill>
              <a:srgbClr val="008000"/>
            </a:solidFill>
            <a:round/>
          </a:ln>
          <a:effectLst/>
        </c:spPr>
        <c:marker>
          <c:symbol val="none"/>
        </c:marker>
        <c:dLbl>
          <c:idx val="0"/>
          <c:layout>
            <c:manualLayout>
              <c:x val="-1.8666362530413625E-2"/>
              <c:y val="-7.8561350687774825E-2"/>
            </c:manualLayout>
          </c:layout>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Chart!$B$1</c:f>
              <c:strCache>
                <c:ptCount val="1"/>
                <c:pt idx="0">
                  <c:v>Total</c:v>
                </c:pt>
              </c:strCache>
            </c:strRef>
          </c:tx>
          <c:spPr>
            <a:ln w="63500" cap="rnd">
              <a:solidFill>
                <a:srgbClr val="008000"/>
              </a:solidFill>
              <a:round/>
            </a:ln>
            <a:effectLst/>
          </c:spPr>
          <c:marker>
            <c:symbol val="none"/>
          </c:marker>
          <c:dPt>
            <c:idx val="2"/>
            <c:marker>
              <c:symbol val="none"/>
            </c:marker>
            <c:bubble3D val="0"/>
            <c:spPr>
              <a:ln w="63500" cap="rnd">
                <a:solidFill>
                  <a:srgbClr val="008000"/>
                </a:solidFill>
                <a:round/>
              </a:ln>
              <a:effectLst/>
            </c:spPr>
          </c:dPt>
          <c:dPt>
            <c:idx val="3"/>
            <c:marker>
              <c:symbol val="none"/>
            </c:marker>
            <c:bubble3D val="0"/>
            <c:spPr>
              <a:ln w="63500" cap="rnd">
                <a:solidFill>
                  <a:srgbClr val="008000"/>
                </a:solidFill>
                <a:round/>
              </a:ln>
              <a:effectLst/>
            </c:spPr>
          </c:dPt>
          <c:dLbls>
            <c:dLbl>
              <c:idx val="2"/>
              <c:layout>
                <c:manualLayout>
                  <c:x val="-1.8666362530413625E-2"/>
                  <c:y val="-7.8561350687774825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4.7812753446877625E-2"/>
                  <c:y val="-6.5629424348027265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Chart!$A$2:$A$7</c:f>
              <c:strCache>
                <c:ptCount val="5"/>
                <c:pt idx="0">
                  <c:v>April</c:v>
                </c:pt>
                <c:pt idx="1">
                  <c:v>May</c:v>
                </c:pt>
                <c:pt idx="2">
                  <c:v>June</c:v>
                </c:pt>
                <c:pt idx="3">
                  <c:v>July</c:v>
                </c:pt>
                <c:pt idx="4">
                  <c:v>August</c:v>
                </c:pt>
              </c:strCache>
            </c:strRef>
          </c:cat>
          <c:val>
            <c:numRef>
              <c:f>Chart!$B$2:$B$7</c:f>
              <c:numCache>
                <c:formatCode>0</c:formatCode>
                <c:ptCount val="5"/>
                <c:pt idx="0">
                  <c:v>4029.3260869565224</c:v>
                </c:pt>
                <c:pt idx="1">
                  <c:v>4114.5992561983467</c:v>
                </c:pt>
                <c:pt idx="2">
                  <c:v>3978.3579234972658</c:v>
                </c:pt>
                <c:pt idx="3">
                  <c:v>3996.0225619834719</c:v>
                </c:pt>
                <c:pt idx="4">
                  <c:v>4196.1975862068966</c:v>
                </c:pt>
              </c:numCache>
            </c:numRef>
          </c:val>
          <c:smooth val="0"/>
        </c:ser>
        <c:dLbls>
          <c:dLblPos val="t"/>
          <c:showLegendKey val="0"/>
          <c:showVal val="1"/>
          <c:showCatName val="0"/>
          <c:showSerName val="0"/>
          <c:showPercent val="0"/>
          <c:showBubbleSize val="0"/>
        </c:dLbls>
        <c:smooth val="0"/>
        <c:axId val="320559704"/>
        <c:axId val="320557744"/>
      </c:lineChart>
      <c:catAx>
        <c:axId val="320559704"/>
        <c:scaling>
          <c:orientation val="minMax"/>
        </c:scaling>
        <c:delete val="0"/>
        <c:axPos val="b"/>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chemeClr val="tx1"/>
                    </a:solidFill>
                    <a:latin typeface="+mn-lt"/>
                    <a:ea typeface="+mn-ea"/>
                    <a:cs typeface="+mn-cs"/>
                  </a:defRPr>
                </a:pPr>
                <a:r>
                  <a:rPr lang="en-US" sz="1800" b="0" i="0" baseline="0">
                    <a:solidFill>
                      <a:schemeClr val="tx1"/>
                    </a:solidFill>
                    <a:effectLst/>
                  </a:rPr>
                  <a:t>Harvest_Months</a:t>
                </a:r>
                <a:endParaRPr lang="en-US" baseline="0">
                  <a:solidFill>
                    <a:schemeClr val="tx1"/>
                  </a:solidFill>
                  <a:effectLst/>
                </a:endParaRPr>
              </a:p>
            </c:rich>
          </c:tx>
          <c:layout>
            <c:manualLayout>
              <c:xMode val="edge"/>
              <c:yMode val="edge"/>
              <c:x val="0.46487555558748589"/>
              <c:y val="0.94515559856693876"/>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700" b="0" i="0" u="none" strike="noStrike" kern="1200" baseline="0">
                <a:solidFill>
                  <a:schemeClr val="tx1"/>
                </a:solidFill>
                <a:latin typeface="+mn-lt"/>
                <a:ea typeface="+mn-ea"/>
                <a:cs typeface="+mn-cs"/>
              </a:defRPr>
            </a:pPr>
            <a:endParaRPr lang="en-US"/>
          </a:p>
        </c:txPr>
        <c:crossAx val="320557744"/>
        <c:crosses val="autoZero"/>
        <c:auto val="1"/>
        <c:lblAlgn val="ctr"/>
        <c:lblOffset val="100"/>
        <c:noMultiLvlLbl val="0"/>
      </c:catAx>
      <c:valAx>
        <c:axId val="320557744"/>
        <c:scaling>
          <c:orientation val="minMax"/>
        </c:scaling>
        <c:delete val="0"/>
        <c:axPos val="l"/>
        <c:title>
          <c:tx>
            <c:rich>
              <a:bodyPr rot="-540000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chemeClr val="tx1"/>
                    </a:solidFill>
                    <a:latin typeface="+mn-lt"/>
                    <a:ea typeface="+mn-ea"/>
                    <a:cs typeface="+mn-cs"/>
                  </a:defRPr>
                </a:pPr>
                <a:r>
                  <a:rPr lang="en-US" sz="1800" b="0" i="0" baseline="0">
                    <a:solidFill>
                      <a:schemeClr val="tx1"/>
                    </a:solidFill>
                    <a:effectLst/>
                  </a:rPr>
                  <a:t>Avg_Yield</a:t>
                </a:r>
                <a:endParaRPr lang="en-US" baseline="0">
                  <a:solidFill>
                    <a:schemeClr val="tx1"/>
                  </a:solidFill>
                  <a:effectLst/>
                </a:endParaRPr>
              </a:p>
            </c:rich>
          </c:tx>
          <c:layout>
            <c:manualLayout>
              <c:xMode val="edge"/>
              <c:yMode val="edge"/>
              <c:x val="6.3361719383617197E-3"/>
              <c:y val="0.3810973523560951"/>
            </c:manualLayout>
          </c:layout>
          <c:overlay val="0"/>
          <c:spPr>
            <a:noFill/>
            <a:ln>
              <a:noFill/>
            </a:ln>
            <a:effectLst/>
          </c:spPr>
          <c:txPr>
            <a:bodyPr rot="-540000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700" b="0" i="0" u="none" strike="noStrike" kern="1200" baseline="0">
                <a:solidFill>
                  <a:schemeClr val="tx1"/>
                </a:solidFill>
                <a:latin typeface="+mn-lt"/>
                <a:ea typeface="+mn-ea"/>
                <a:cs typeface="+mn-cs"/>
              </a:defRPr>
            </a:pPr>
            <a:endParaRPr lang="en-US"/>
          </a:p>
        </c:txPr>
        <c:crossAx val="320559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[INTERSHIP.xlsx]Chart!PivotTable2</c:name>
    <c:fmtId val="3"/>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2700" b="0" i="0" u="none" strike="noStrike" kern="1200" spc="0" baseline="0">
                <a:solidFill>
                  <a:schemeClr val="tx1"/>
                </a:solidFill>
                <a:latin typeface="Sitka Heading Semibold" pitchFamily="2" charset="0"/>
                <a:ea typeface="+mn-ea"/>
                <a:cs typeface="+mn-cs"/>
              </a:defRPr>
            </a:pPr>
            <a:r>
              <a:rPr lang="en-US" sz="2700" b="0" i="0" baseline="0">
                <a:solidFill>
                  <a:schemeClr val="tx1"/>
                </a:solidFill>
                <a:effectLst/>
                <a:latin typeface="Sitka Heading Semibold" pitchFamily="2" charset="0"/>
              </a:rPr>
              <a:t>Crop Productivity Comparism </a:t>
            </a:r>
            <a:endParaRPr lang="en-US" sz="2700" baseline="0">
              <a:solidFill>
                <a:schemeClr val="tx1"/>
              </a:solidFill>
              <a:effectLst/>
              <a:latin typeface="Sitka Heading Semibold" pitchFamily="2" charset="0"/>
            </a:endParaRPr>
          </a:p>
        </c:rich>
      </c:tx>
      <c:layout>
        <c:manualLayout>
          <c:xMode val="edge"/>
          <c:yMode val="edge"/>
          <c:x val="0.27939025869941442"/>
          <c:y val="0"/>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2700" b="0" i="0" u="none" strike="noStrike" kern="1200" spc="0" baseline="0">
              <a:solidFill>
                <a:schemeClr val="tx1"/>
              </a:solidFill>
              <a:latin typeface="Sitka Heading Semibold" pitchFamily="2"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6600"/>
          </a:solidFill>
          <a:ln>
            <a:solidFill>
              <a:srgbClr val="008000"/>
            </a:solidFill>
          </a:ln>
          <a:effectLst/>
        </c:spPr>
        <c:marker>
          <c:symbol val="none"/>
        </c:marker>
      </c:pivotFmt>
    </c:pivotFmts>
    <c:plotArea>
      <c:layout/>
      <c:barChart>
        <c:barDir val="col"/>
        <c:grouping val="clustered"/>
        <c:varyColors val="0"/>
        <c:ser>
          <c:idx val="0"/>
          <c:order val="0"/>
          <c:tx>
            <c:strRef>
              <c:f>Chart!$B$22</c:f>
              <c:strCache>
                <c:ptCount val="1"/>
                <c:pt idx="0">
                  <c:v>Total</c:v>
                </c:pt>
              </c:strCache>
            </c:strRef>
          </c:tx>
          <c:spPr>
            <a:solidFill>
              <a:srgbClr val="006600"/>
            </a:solidFill>
            <a:ln>
              <a:solidFill>
                <a:srgbClr val="008000"/>
              </a:solidFill>
            </a:ln>
            <a:effectLst/>
          </c:spPr>
          <c:invertIfNegative val="0"/>
          <c:cat>
            <c:strRef>
              <c:f>Chart!$A$23:$A$28</c:f>
              <c:strCache>
                <c:ptCount val="5"/>
                <c:pt idx="0">
                  <c:v>Cotton</c:v>
                </c:pt>
                <c:pt idx="1">
                  <c:v>Maize</c:v>
                </c:pt>
                <c:pt idx="2">
                  <c:v>Rice</c:v>
                </c:pt>
                <c:pt idx="3">
                  <c:v>Soybean</c:v>
                </c:pt>
                <c:pt idx="4">
                  <c:v>Wheat</c:v>
                </c:pt>
              </c:strCache>
            </c:strRef>
          </c:cat>
          <c:val>
            <c:numRef>
              <c:f>Chart!$B$23:$B$28</c:f>
              <c:numCache>
                <c:formatCode>General</c:formatCode>
                <c:ptCount val="5"/>
                <c:pt idx="0">
                  <c:v>420039.53000000009</c:v>
                </c:pt>
                <c:pt idx="1">
                  <c:v>442063.47999999992</c:v>
                </c:pt>
                <c:pt idx="2">
                  <c:v>319486.76</c:v>
                </c:pt>
                <c:pt idx="3">
                  <c:v>459735.92000000004</c:v>
                </c:pt>
                <c:pt idx="4">
                  <c:v>375137.77999999997</c:v>
                </c:pt>
              </c:numCache>
            </c:numRef>
          </c:val>
        </c:ser>
        <c:dLbls>
          <c:showLegendKey val="0"/>
          <c:showVal val="0"/>
          <c:showCatName val="0"/>
          <c:showSerName val="0"/>
          <c:showPercent val="0"/>
          <c:showBubbleSize val="0"/>
        </c:dLbls>
        <c:gapWidth val="200"/>
        <c:axId val="319894896"/>
        <c:axId val="319893720"/>
      </c:barChart>
      <c:catAx>
        <c:axId val="319894896"/>
        <c:scaling>
          <c:orientation val="minMax"/>
        </c:scaling>
        <c:delete val="0"/>
        <c:axPos val="b"/>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900" b="0" i="0" u="none" strike="noStrike" kern="1200" baseline="0">
                    <a:solidFill>
                      <a:schemeClr val="tx1"/>
                    </a:solidFill>
                    <a:latin typeface="Sitka Heading Semibold" pitchFamily="2" charset="0"/>
                    <a:ea typeface="+mn-ea"/>
                    <a:cs typeface="+mn-cs"/>
                  </a:defRPr>
                </a:pPr>
                <a:r>
                  <a:rPr lang="en-US" sz="1900" b="0" i="0" baseline="0">
                    <a:solidFill>
                      <a:schemeClr val="tx1"/>
                    </a:solidFill>
                    <a:effectLst/>
                    <a:latin typeface="Sitka Heading Semibold" pitchFamily="2" charset="0"/>
                  </a:rPr>
                  <a:t>Crop_Type</a:t>
                </a:r>
                <a:endParaRPr lang="en-US" sz="1900" baseline="0">
                  <a:solidFill>
                    <a:schemeClr val="tx1"/>
                  </a:solidFill>
                  <a:effectLst/>
                  <a:latin typeface="Sitka Heading Semibold" pitchFamily="2" charset="0"/>
                </a:endParaRPr>
              </a:p>
            </c:rich>
          </c:tx>
          <c:layout>
            <c:manualLayout>
              <c:xMode val="edge"/>
              <c:yMode val="edge"/>
              <c:x val="0.47199202460550105"/>
              <c:y val="0.92218317920540305"/>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900" b="0" i="0" u="none" strike="noStrike" kern="1200" baseline="0">
                  <a:solidFill>
                    <a:schemeClr val="tx1"/>
                  </a:solidFill>
                  <a:latin typeface="Sitka Heading Semibold" pitchFamily="2"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700" b="0" i="0" u="none" strike="noStrike" kern="1200" baseline="0">
                <a:solidFill>
                  <a:sysClr val="windowText" lastClr="000000"/>
                </a:solidFill>
                <a:latin typeface="+mn-lt"/>
                <a:ea typeface="+mn-ea"/>
                <a:cs typeface="+mn-cs"/>
              </a:defRPr>
            </a:pPr>
            <a:endParaRPr lang="en-US"/>
          </a:p>
        </c:txPr>
        <c:crossAx val="319893720"/>
        <c:crosses val="autoZero"/>
        <c:auto val="1"/>
        <c:lblAlgn val="ctr"/>
        <c:lblOffset val="100"/>
        <c:noMultiLvlLbl val="0"/>
      </c:catAx>
      <c:valAx>
        <c:axId val="319893720"/>
        <c:scaling>
          <c:orientation val="minMax"/>
        </c:scaling>
        <c:delete val="0"/>
        <c:axPos val="l"/>
        <c:title>
          <c:tx>
            <c:rich>
              <a:bodyPr rot="-540000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900" b="0" i="0" u="none" strike="noStrike" kern="1200" baseline="0">
                    <a:solidFill>
                      <a:schemeClr val="tx1"/>
                    </a:solidFill>
                    <a:latin typeface="Sitka Heading Semibold" pitchFamily="2" charset="0"/>
                    <a:ea typeface="+mn-ea"/>
                    <a:cs typeface="+mn-cs"/>
                  </a:defRPr>
                </a:pPr>
                <a:r>
                  <a:rPr lang="en-US" sz="1900" b="0" i="0" baseline="0">
                    <a:solidFill>
                      <a:schemeClr val="tx1"/>
                    </a:solidFill>
                    <a:effectLst/>
                    <a:latin typeface="Sitka Heading Semibold" pitchFamily="2" charset="0"/>
                  </a:rPr>
                  <a:t>Avg_Yield</a:t>
                </a:r>
                <a:endParaRPr lang="en-US" sz="1900" baseline="0">
                  <a:solidFill>
                    <a:schemeClr val="tx1"/>
                  </a:solidFill>
                  <a:effectLst/>
                  <a:latin typeface="Sitka Heading Semibold" pitchFamily="2" charset="0"/>
                </a:endParaRPr>
              </a:p>
            </c:rich>
          </c:tx>
          <c:layout>
            <c:manualLayout>
              <c:xMode val="edge"/>
              <c:yMode val="edge"/>
              <c:x val="2.5344687753446875E-3"/>
              <c:y val="0.40700280455597249"/>
            </c:manualLayout>
          </c:layout>
          <c:overlay val="0"/>
          <c:spPr>
            <a:noFill/>
            <a:ln>
              <a:noFill/>
            </a:ln>
            <a:effectLst/>
          </c:spPr>
          <c:txPr>
            <a:bodyPr rot="-540000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900" b="0" i="0" u="none" strike="noStrike" kern="1200" baseline="0">
                  <a:solidFill>
                    <a:schemeClr val="tx1"/>
                  </a:solidFill>
                  <a:latin typeface="Sitka Heading Semibold" pitchFamily="2"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319894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[INTERSHIP.xlsx]Chart!PivotTable3</c:name>
    <c:fmtId val="3"/>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900" b="0" i="0" u="none" strike="noStrike" kern="1200" spc="0" baseline="0">
                <a:solidFill>
                  <a:schemeClr val="tx1"/>
                </a:solidFill>
                <a:latin typeface="Sitka Heading Semibold" pitchFamily="2" charset="0"/>
                <a:ea typeface="+mn-ea"/>
                <a:cs typeface="+mn-cs"/>
              </a:defRPr>
            </a:pPr>
            <a:r>
              <a:rPr lang="en-US" sz="1900" b="0" i="0" baseline="0">
                <a:solidFill>
                  <a:schemeClr val="tx1"/>
                </a:solidFill>
                <a:effectLst/>
                <a:latin typeface="Sitka Heading Semibold" pitchFamily="2" charset="0"/>
              </a:rPr>
              <a:t>Fertilizer Efficiency and Yield Optimisation</a:t>
            </a:r>
            <a:endParaRPr lang="en-US" sz="1900" baseline="0">
              <a:solidFill>
                <a:schemeClr val="tx1"/>
              </a:solidFill>
              <a:effectLst/>
              <a:latin typeface="Sitka Heading Semibold" pitchFamily="2" charset="0"/>
            </a:endParaRPr>
          </a:p>
        </c:rich>
      </c:tx>
      <c:layout>
        <c:manualLayout>
          <c:xMode val="edge"/>
          <c:yMode val="edge"/>
          <c:x val="0.17039056862605165"/>
          <c:y val="1.2931926339747568E-2"/>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900" b="0" i="0" u="none" strike="noStrike" kern="1200" spc="0" baseline="0">
              <a:solidFill>
                <a:schemeClr val="tx1"/>
              </a:solidFill>
              <a:latin typeface="Sitka Heading Semibold" pitchFamily="2"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6600"/>
          </a:solidFill>
          <a:ln>
            <a:noFill/>
          </a:ln>
          <a:effectLst/>
        </c:spPr>
        <c:marker>
          <c:symbol val="none"/>
        </c:marker>
      </c:pivotFmt>
    </c:pivotFmts>
    <c:plotArea>
      <c:layout/>
      <c:barChart>
        <c:barDir val="col"/>
        <c:grouping val="clustered"/>
        <c:varyColors val="0"/>
        <c:ser>
          <c:idx val="0"/>
          <c:order val="0"/>
          <c:tx>
            <c:strRef>
              <c:f>Chart!$B$36</c:f>
              <c:strCache>
                <c:ptCount val="1"/>
                <c:pt idx="0">
                  <c:v>Total</c:v>
                </c:pt>
              </c:strCache>
            </c:strRef>
          </c:tx>
          <c:spPr>
            <a:solidFill>
              <a:srgbClr val="006600"/>
            </a:solidFill>
            <a:ln>
              <a:noFill/>
            </a:ln>
            <a:effectLst/>
          </c:spPr>
          <c:invertIfNegative val="0"/>
          <c:cat>
            <c:strRef>
              <c:f>Chart!$A$37:$A$40</c:f>
              <c:strCache>
                <c:ptCount val="3"/>
                <c:pt idx="0">
                  <c:v>Inorganic</c:v>
                </c:pt>
                <c:pt idx="1">
                  <c:v>Mixed</c:v>
                </c:pt>
                <c:pt idx="2">
                  <c:v>Organic</c:v>
                </c:pt>
              </c:strCache>
            </c:strRef>
          </c:cat>
          <c:val>
            <c:numRef>
              <c:f>Chart!$B$37:$B$40</c:f>
              <c:numCache>
                <c:formatCode>0</c:formatCode>
                <c:ptCount val="3"/>
                <c:pt idx="0">
                  <c:v>4087.1228742514959</c:v>
                </c:pt>
                <c:pt idx="1">
                  <c:v>3972.41497005988</c:v>
                </c:pt>
                <c:pt idx="2">
                  <c:v>4039.2810240963863</c:v>
                </c:pt>
              </c:numCache>
            </c:numRef>
          </c:val>
        </c:ser>
        <c:dLbls>
          <c:showLegendKey val="0"/>
          <c:showVal val="0"/>
          <c:showCatName val="0"/>
          <c:showSerName val="0"/>
          <c:showPercent val="0"/>
          <c:showBubbleSize val="0"/>
        </c:dLbls>
        <c:gapWidth val="219"/>
        <c:overlap val="-27"/>
        <c:axId val="319888624"/>
        <c:axId val="319893328"/>
      </c:barChart>
      <c:catAx>
        <c:axId val="319888624"/>
        <c:scaling>
          <c:orientation val="minMax"/>
        </c:scaling>
        <c:delete val="0"/>
        <c:axPos val="b"/>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chemeClr val="tx1"/>
                    </a:solidFill>
                    <a:latin typeface="Sitka Heading Semibold" pitchFamily="2" charset="0"/>
                    <a:ea typeface="+mn-ea"/>
                    <a:cs typeface="+mn-cs"/>
                  </a:defRPr>
                </a:pPr>
                <a:r>
                  <a:rPr lang="en-US" sz="1800" b="0" i="0" baseline="0">
                    <a:solidFill>
                      <a:schemeClr val="tx1"/>
                    </a:solidFill>
                    <a:effectLst/>
                    <a:latin typeface="Sitka Heading Semibold" pitchFamily="2" charset="0"/>
                  </a:rPr>
                  <a:t>Fertilizer_Type</a:t>
                </a:r>
                <a:endParaRPr lang="en-US" baseline="0">
                  <a:solidFill>
                    <a:schemeClr val="tx1"/>
                  </a:solidFill>
                  <a:effectLst/>
                  <a:latin typeface="Sitka Heading Semibold" pitchFamily="2" charset="0"/>
                </a:endParaRPr>
              </a:p>
            </c:rich>
          </c:tx>
          <c:layout>
            <c:manualLayout>
              <c:xMode val="edge"/>
              <c:yMode val="edge"/>
              <c:x val="0.41352839297655769"/>
              <c:y val="0.91988661449907216"/>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chemeClr val="tx1"/>
                  </a:solidFill>
                  <a:latin typeface="Sitka Heading Semibold" pitchFamily="2"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crossAx val="319893328"/>
        <c:crosses val="autoZero"/>
        <c:auto val="1"/>
        <c:lblAlgn val="ctr"/>
        <c:lblOffset val="100"/>
        <c:noMultiLvlLbl val="0"/>
      </c:catAx>
      <c:valAx>
        <c:axId val="319893328"/>
        <c:scaling>
          <c:orientation val="minMax"/>
        </c:scaling>
        <c:delete val="0"/>
        <c:axPos val="l"/>
        <c:title>
          <c:tx>
            <c:rich>
              <a:bodyPr rot="-540000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chemeClr val="tx1"/>
                    </a:solidFill>
                    <a:latin typeface="Sitka Heading Semibold" pitchFamily="2" charset="0"/>
                    <a:ea typeface="+mn-ea"/>
                    <a:cs typeface="+mn-cs"/>
                  </a:defRPr>
                </a:pPr>
                <a:r>
                  <a:rPr lang="en-US" sz="1800" b="0" i="0" baseline="0">
                    <a:solidFill>
                      <a:schemeClr val="tx1"/>
                    </a:solidFill>
                    <a:effectLst/>
                    <a:latin typeface="Sitka Heading Semibold" pitchFamily="2" charset="0"/>
                  </a:rPr>
                  <a:t>Avg_Yield</a:t>
                </a:r>
                <a:endParaRPr lang="en-US" baseline="0">
                  <a:solidFill>
                    <a:schemeClr val="tx1"/>
                  </a:solidFill>
                  <a:effectLst/>
                  <a:latin typeface="Sitka Heading Semibold" pitchFamily="2" charset="0"/>
                </a:endParaRPr>
              </a:p>
            </c:rich>
          </c:tx>
          <c:layout>
            <c:manualLayout>
              <c:xMode val="edge"/>
              <c:yMode val="edge"/>
              <c:x val="1.049009734810339E-2"/>
              <c:y val="0.41797268940078958"/>
            </c:manualLayout>
          </c:layout>
          <c:overlay val="0"/>
          <c:spPr>
            <a:noFill/>
            <a:ln>
              <a:noFill/>
            </a:ln>
            <a:effectLst/>
          </c:spPr>
          <c:txPr>
            <a:bodyPr rot="-540000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chemeClr val="tx1"/>
                  </a:solidFill>
                  <a:latin typeface="Sitka Heading Semibold" pitchFamily="2" charset="0"/>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crossAx val="3198886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[INTERSHIP.xlsx]Chart!PivotTable4</c:name>
    <c:fmtId val="3"/>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2150" b="0" i="0" baseline="0">
                <a:solidFill>
                  <a:schemeClr val="tx1"/>
                </a:solidFill>
                <a:effectLst/>
                <a:latin typeface="Sitka Heading Semibold" pitchFamily="2" charset="0"/>
              </a:rPr>
              <a:t>Regional Yield Contribution Analysis</a:t>
            </a:r>
            <a:endParaRPr lang="en-US" sz="2150" baseline="0">
              <a:solidFill>
                <a:schemeClr val="tx1"/>
              </a:solidFill>
              <a:effectLst/>
              <a:latin typeface="Sitka Heading Semibold" pitchFamily="2" charset="0"/>
            </a:endParaRPr>
          </a:p>
        </c:rich>
      </c:tx>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28575">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rgbClr val="99CC00"/>
          </a:solidFill>
          <a:ln w="28575">
            <a:solidFill>
              <a:schemeClr val="lt1"/>
            </a:solidFill>
          </a:ln>
          <a:effectLst/>
        </c:spPr>
      </c:pivotFmt>
      <c:pivotFmt>
        <c:idx val="9"/>
        <c:spPr>
          <a:solidFill>
            <a:schemeClr val="accent6">
              <a:lumMod val="75000"/>
            </a:schemeClr>
          </a:solidFill>
          <a:ln w="28575">
            <a:solidFill>
              <a:schemeClr val="lt1"/>
            </a:solidFill>
          </a:ln>
          <a:effectLst/>
        </c:spPr>
      </c:pivotFmt>
      <c:pivotFmt>
        <c:idx val="10"/>
        <c:spPr>
          <a:solidFill>
            <a:srgbClr val="006600"/>
          </a:solidFill>
          <a:ln w="28575">
            <a:solidFill>
              <a:schemeClr val="lt1"/>
            </a:solidFill>
          </a:ln>
          <a:effectLst/>
        </c:spPr>
      </c:pivotFmt>
      <c:pivotFmt>
        <c:idx val="11"/>
        <c:spPr>
          <a:solidFill>
            <a:srgbClr val="006600"/>
          </a:solidFill>
          <a:ln w="28575">
            <a:solidFill>
              <a:schemeClr val="lt1"/>
            </a:solidFill>
          </a:ln>
          <a:effectLst/>
        </c:spPr>
      </c:pivotFmt>
      <c:pivotFmt>
        <c:idx val="12"/>
        <c:spPr>
          <a:solidFill>
            <a:schemeClr val="accent6">
              <a:lumMod val="40000"/>
              <a:lumOff val="60000"/>
            </a:schemeClr>
          </a:solidFill>
          <a:ln w="28575">
            <a:solidFill>
              <a:schemeClr val="lt1"/>
            </a:solidFill>
          </a:ln>
          <a:effectLst/>
        </c:spPr>
      </c:pivotFmt>
    </c:pivotFmts>
    <c:plotArea>
      <c:layout/>
      <c:doughnutChart>
        <c:varyColors val="1"/>
        <c:ser>
          <c:idx val="0"/>
          <c:order val="0"/>
          <c:tx>
            <c:strRef>
              <c:f>Chart!$B$53</c:f>
              <c:strCache>
                <c:ptCount val="1"/>
                <c:pt idx="0">
                  <c:v>Total</c:v>
                </c:pt>
              </c:strCache>
            </c:strRef>
          </c:tx>
          <c:spPr>
            <a:ln w="28575"/>
          </c:spPr>
          <c:dPt>
            <c:idx val="0"/>
            <c:bubble3D val="0"/>
            <c:spPr>
              <a:solidFill>
                <a:srgbClr val="99CC00"/>
              </a:solidFill>
              <a:ln w="28575">
                <a:solidFill>
                  <a:schemeClr val="lt1"/>
                </a:solidFill>
              </a:ln>
              <a:effectLst/>
            </c:spPr>
          </c:dPt>
          <c:dPt>
            <c:idx val="1"/>
            <c:bubble3D val="0"/>
            <c:spPr>
              <a:solidFill>
                <a:schemeClr val="accent6">
                  <a:lumMod val="75000"/>
                </a:schemeClr>
              </a:solidFill>
              <a:ln w="28575">
                <a:solidFill>
                  <a:schemeClr val="lt1"/>
                </a:solidFill>
              </a:ln>
              <a:effectLst/>
            </c:spPr>
          </c:dPt>
          <c:dPt>
            <c:idx val="2"/>
            <c:bubble3D val="0"/>
            <c:spPr>
              <a:solidFill>
                <a:srgbClr val="006600"/>
              </a:solidFill>
              <a:ln w="28575">
                <a:solidFill>
                  <a:schemeClr val="lt1"/>
                </a:solidFill>
              </a:ln>
              <a:effectLst/>
            </c:spPr>
          </c:dPt>
          <c:dPt>
            <c:idx val="3"/>
            <c:bubble3D val="0"/>
            <c:spPr>
              <a:solidFill>
                <a:srgbClr val="006600"/>
              </a:solidFill>
              <a:ln w="28575">
                <a:solidFill>
                  <a:schemeClr val="lt1"/>
                </a:solidFill>
              </a:ln>
              <a:effectLst/>
            </c:spPr>
          </c:dPt>
          <c:dPt>
            <c:idx val="4"/>
            <c:bubble3D val="0"/>
            <c:spPr>
              <a:solidFill>
                <a:schemeClr val="accent6">
                  <a:lumMod val="40000"/>
                  <a:lumOff val="60000"/>
                </a:schemeClr>
              </a:solidFill>
              <a:ln w="28575">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Chart!$A$54:$A$59</c:f>
              <c:strCache>
                <c:ptCount val="5"/>
                <c:pt idx="0">
                  <c:v>Central USA</c:v>
                </c:pt>
                <c:pt idx="1">
                  <c:v>East Africa</c:v>
                </c:pt>
                <c:pt idx="2">
                  <c:v>North India</c:v>
                </c:pt>
                <c:pt idx="3">
                  <c:v>South India</c:v>
                </c:pt>
                <c:pt idx="4">
                  <c:v>South USA</c:v>
                </c:pt>
              </c:strCache>
            </c:strRef>
          </c:cat>
          <c:val>
            <c:numRef>
              <c:f>Chart!$B$54:$B$59</c:f>
              <c:numCache>
                <c:formatCode>0.0</c:formatCode>
                <c:ptCount val="5"/>
                <c:pt idx="0">
                  <c:v>4013.0834862385345</c:v>
                </c:pt>
                <c:pt idx="1">
                  <c:v>4053.18448598131</c:v>
                </c:pt>
                <c:pt idx="2">
                  <c:v>3996.2216161616152</c:v>
                </c:pt>
                <c:pt idx="3">
                  <c:v>4122.8846153846171</c:v>
                </c:pt>
                <c:pt idx="4">
                  <c:v>3984.4488297872317</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3382891795891303"/>
          <c:y val="0.38833658362537082"/>
          <c:w val="0.20905756304631104"/>
          <c:h val="0.3813289051159108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Sitka Heading Semibold" pitchFamily="2"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[INTERSHIP.xlsx]Chart!PivotTable5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350" b="0" i="0" u="none" strike="noStrike" baseline="0">
                <a:solidFill>
                  <a:schemeClr val="tx1"/>
                </a:solidFill>
                <a:effectLst/>
                <a:latin typeface="Sitka Heading Semibold" pitchFamily="2" charset="0"/>
              </a:rPr>
              <a:t>Yield Loss Analysis by Disease Severity</a:t>
            </a:r>
            <a:endParaRPr lang="en-US" sz="2350" baseline="0">
              <a:solidFill>
                <a:schemeClr val="tx1"/>
              </a:solidFill>
              <a:latin typeface="Sitka Heading Semibold" pitchFamily="2" charset="0"/>
            </a:endParaRPr>
          </a:p>
        </c:rich>
      </c:tx>
      <c:layout>
        <c:manualLayout>
          <c:xMode val="edge"/>
          <c:yMode val="edge"/>
          <c:x val="0.15402246299401254"/>
          <c:y val="1.63612565445026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6600"/>
          </a:solidFill>
          <a:ln>
            <a:noFill/>
          </a:ln>
          <a:effectLst/>
        </c:spPr>
        <c:marker>
          <c:symbol val="none"/>
        </c:marker>
      </c:pivotFmt>
    </c:pivotFmts>
    <c:plotArea>
      <c:layout/>
      <c:barChart>
        <c:barDir val="bar"/>
        <c:grouping val="clustered"/>
        <c:varyColors val="0"/>
        <c:ser>
          <c:idx val="0"/>
          <c:order val="0"/>
          <c:tx>
            <c:strRef>
              <c:f>Chart!$B$70</c:f>
              <c:strCache>
                <c:ptCount val="1"/>
                <c:pt idx="0">
                  <c:v>Total</c:v>
                </c:pt>
              </c:strCache>
            </c:strRef>
          </c:tx>
          <c:spPr>
            <a:solidFill>
              <a:srgbClr val="006600"/>
            </a:solidFill>
            <a:ln>
              <a:noFill/>
            </a:ln>
            <a:effectLst/>
          </c:spPr>
          <c:invertIfNegative val="0"/>
          <c:cat>
            <c:strRef>
              <c:f>Chart!$A$71:$A$75</c:f>
              <c:strCache>
                <c:ptCount val="4"/>
                <c:pt idx="0">
                  <c:v>Mild</c:v>
                </c:pt>
                <c:pt idx="1">
                  <c:v>Moderate</c:v>
                </c:pt>
                <c:pt idx="2">
                  <c:v>None</c:v>
                </c:pt>
                <c:pt idx="3">
                  <c:v>Severe</c:v>
                </c:pt>
              </c:strCache>
            </c:strRef>
          </c:cat>
          <c:val>
            <c:numRef>
              <c:f>Chart!$B$71:$B$75</c:f>
              <c:numCache>
                <c:formatCode>0</c:formatCode>
                <c:ptCount val="4"/>
                <c:pt idx="0">
                  <c:v>4089.8717599999986</c:v>
                </c:pt>
                <c:pt idx="1">
                  <c:v>3915.9153571428574</c:v>
                </c:pt>
                <c:pt idx="2">
                  <c:v>4082.6476153846161</c:v>
                </c:pt>
                <c:pt idx="3">
                  <c:v>4029.3442857142877</c:v>
                </c:pt>
              </c:numCache>
            </c:numRef>
          </c:val>
        </c:ser>
        <c:dLbls>
          <c:showLegendKey val="0"/>
          <c:showVal val="0"/>
          <c:showCatName val="0"/>
          <c:showSerName val="0"/>
          <c:showPercent val="0"/>
          <c:showBubbleSize val="0"/>
        </c:dLbls>
        <c:gapWidth val="180"/>
        <c:axId val="319894504"/>
        <c:axId val="319894112"/>
      </c:barChart>
      <c:catAx>
        <c:axId val="319894504"/>
        <c:scaling>
          <c:orientation val="minMax"/>
        </c:scaling>
        <c:delete val="0"/>
        <c:axPos val="l"/>
        <c:title>
          <c:tx>
            <c:rich>
              <a:bodyPr rot="-540000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800" b="0" i="0" baseline="0">
                    <a:solidFill>
                      <a:schemeClr val="tx1"/>
                    </a:solidFill>
                    <a:effectLst/>
                    <a:latin typeface="Sitka Heading Semibold" pitchFamily="2" charset="0"/>
                  </a:rPr>
                  <a:t>Crop_Disease</a:t>
                </a:r>
                <a:endParaRPr lang="en-US" baseline="0">
                  <a:solidFill>
                    <a:schemeClr val="tx1"/>
                  </a:solidFill>
                  <a:effectLst/>
                  <a:latin typeface="Sitka Heading Semibold" pitchFamily="2" charset="0"/>
                </a:endParaRPr>
              </a:p>
            </c:rich>
          </c:tx>
          <c:layout>
            <c:manualLayout>
              <c:xMode val="edge"/>
              <c:yMode val="edge"/>
              <c:x val="3.5639707772377499E-3"/>
              <c:y val="0.4227080212813713"/>
            </c:manualLayout>
          </c:layout>
          <c:overlay val="0"/>
          <c:spPr>
            <a:noFill/>
            <a:ln>
              <a:noFill/>
            </a:ln>
            <a:effectLst/>
          </c:spPr>
          <c:txPr>
            <a:bodyPr rot="-540000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700" b="0" i="0" u="none" strike="noStrike" kern="1200" baseline="0">
                <a:solidFill>
                  <a:schemeClr val="tx1"/>
                </a:solidFill>
                <a:latin typeface="+mn-lt"/>
                <a:ea typeface="+mn-ea"/>
                <a:cs typeface="+mn-cs"/>
              </a:defRPr>
            </a:pPr>
            <a:endParaRPr lang="en-US"/>
          </a:p>
        </c:txPr>
        <c:crossAx val="319894112"/>
        <c:crosses val="autoZero"/>
        <c:auto val="1"/>
        <c:lblAlgn val="ctr"/>
        <c:lblOffset val="100"/>
        <c:noMultiLvlLbl val="0"/>
      </c:catAx>
      <c:valAx>
        <c:axId val="319894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800" baseline="0">
                    <a:solidFill>
                      <a:schemeClr val="tx1"/>
                    </a:solidFill>
                    <a:latin typeface="Sitka Heading Semibold" pitchFamily="2" charset="0"/>
                  </a:rPr>
                  <a:t>Avg_Yield</a:t>
                </a:r>
              </a:p>
            </c:rich>
          </c:tx>
          <c:layout>
            <c:manualLayout>
              <c:xMode val="edge"/>
              <c:yMode val="edge"/>
              <c:x val="0.43735806609079525"/>
              <c:y val="0.942962770196919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319894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image" Target="../media/image3.jpeg"/><Relationship Id="rId7" Type="http://schemas.openxmlformats.org/officeDocument/2006/relationships/chart" Target="../charts/chart20.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19.xml"/><Relationship Id="rId5" Type="http://schemas.openxmlformats.org/officeDocument/2006/relationships/image" Target="../media/image5.jpeg"/><Relationship Id="rId10" Type="http://schemas.openxmlformats.org/officeDocument/2006/relationships/chart" Target="../charts/chart23.xml"/><Relationship Id="rId4" Type="http://schemas.openxmlformats.org/officeDocument/2006/relationships/image" Target="../media/image4.jpeg"/><Relationship Id="rId9"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3</xdr:col>
      <xdr:colOff>28575</xdr:colOff>
      <xdr:row>0</xdr:row>
      <xdr:rowOff>165100</xdr:rowOff>
    </xdr:from>
    <xdr:to>
      <xdr:col>8</xdr:col>
      <xdr:colOff>600075</xdr:colOff>
      <xdr:row>15</xdr:row>
      <xdr:rowOff>146050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98425</xdr:colOff>
      <xdr:row>17</xdr:row>
      <xdr:rowOff>76200</xdr:rowOff>
    </xdr:from>
    <xdr:to>
      <xdr:col>8</xdr:col>
      <xdr:colOff>669925</xdr:colOff>
      <xdr:row>32</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9525</xdr:colOff>
      <xdr:row>33</xdr:row>
      <xdr:rowOff>101600</xdr:rowOff>
    </xdr:from>
    <xdr:to>
      <xdr:col>8</xdr:col>
      <xdr:colOff>581025</xdr:colOff>
      <xdr:row>48</xdr:row>
      <xdr:rowOff>82550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587375</xdr:colOff>
      <xdr:row>51</xdr:row>
      <xdr:rowOff>146050</xdr:rowOff>
    </xdr:from>
    <xdr:to>
      <xdr:col>8</xdr:col>
      <xdr:colOff>473075</xdr:colOff>
      <xdr:row>66</xdr:row>
      <xdr:rowOff>127000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409575</xdr:colOff>
      <xdr:row>67</xdr:row>
      <xdr:rowOff>177800</xdr:rowOff>
    </xdr:from>
    <xdr:to>
      <xdr:col>8</xdr:col>
      <xdr:colOff>981075</xdr:colOff>
      <xdr:row>82</xdr:row>
      <xdr:rowOff>158750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165100</xdr:colOff>
      <xdr:row>0</xdr:row>
      <xdr:rowOff>0</xdr:rowOff>
    </xdr:from>
    <xdr:to>
      <xdr:col>10</xdr:col>
      <xdr:colOff>361950</xdr:colOff>
      <xdr:row>16</xdr:row>
      <xdr:rowOff>146050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47625</xdr:colOff>
      <xdr:row>20</xdr:row>
      <xdr:rowOff>142875</xdr:rowOff>
    </xdr:from>
    <xdr:to>
      <xdr:col>9</xdr:col>
      <xdr:colOff>511175</xdr:colOff>
      <xdr:row>35</xdr:row>
      <xdr:rowOff>123825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60325</xdr:colOff>
      <xdr:row>36</xdr:row>
      <xdr:rowOff>161925</xdr:rowOff>
    </xdr:from>
    <xdr:to>
      <xdr:col>9</xdr:col>
      <xdr:colOff>523875</xdr:colOff>
      <xdr:row>51</xdr:row>
      <xdr:rowOff>142875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111125</xdr:colOff>
      <xdr:row>54</xdr:row>
      <xdr:rowOff>34925</xdr:rowOff>
    </xdr:from>
    <xdr:to>
      <xdr:col>9</xdr:col>
      <xdr:colOff>574675</xdr:colOff>
      <xdr:row>69</xdr:row>
      <xdr:rowOff>15875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66675</xdr:colOff>
      <xdr:row>71</xdr:row>
      <xdr:rowOff>180975</xdr:rowOff>
    </xdr:from>
    <xdr:to>
      <xdr:col>9</xdr:col>
      <xdr:colOff>530225</xdr:colOff>
      <xdr:row>86</xdr:row>
      <xdr:rowOff>161925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174625</xdr:colOff>
      <xdr:row>88</xdr:row>
      <xdr:rowOff>180975</xdr:rowOff>
    </xdr:from>
    <xdr:to>
      <xdr:col>10</xdr:col>
      <xdr:colOff>28575</xdr:colOff>
      <xdr:row>103</xdr:row>
      <xdr:rowOff>161925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225425</xdr:colOff>
      <xdr:row>105</xdr:row>
      <xdr:rowOff>174625</xdr:rowOff>
    </xdr:from>
    <xdr:to>
      <xdr:col>11</xdr:col>
      <xdr:colOff>587375</xdr:colOff>
      <xdr:row>120</xdr:row>
      <xdr:rowOff>155575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38100</xdr:colOff>
      <xdr:row>16</xdr:row>
      <xdr:rowOff>146050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254000</xdr:colOff>
      <xdr:row>0</xdr:row>
      <xdr:rowOff>63500</xdr:rowOff>
    </xdr:from>
    <xdr:to>
      <xdr:col>15</xdr:col>
      <xdr:colOff>558800</xdr:colOff>
      <xdr:row>15</xdr:row>
      <xdr:rowOff>44450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76200</xdr:colOff>
      <xdr:row>20</xdr:row>
      <xdr:rowOff>69850</xdr:rowOff>
    </xdr:from>
    <xdr:to>
      <xdr:col>15</xdr:col>
      <xdr:colOff>381000</xdr:colOff>
      <xdr:row>35</xdr:row>
      <xdr:rowOff>50800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38100</xdr:rowOff>
    </xdr:from>
    <xdr:to>
      <xdr:col>7</xdr:col>
      <xdr:colOff>304800</xdr:colOff>
      <xdr:row>35</xdr:row>
      <xdr:rowOff>19050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39</xdr:row>
      <xdr:rowOff>50800</xdr:rowOff>
    </xdr:from>
    <xdr:to>
      <xdr:col>7</xdr:col>
      <xdr:colOff>304800</xdr:colOff>
      <xdr:row>54</xdr:row>
      <xdr:rowOff>31750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552450</xdr:colOff>
      <xdr:row>39</xdr:row>
      <xdr:rowOff>133350</xdr:rowOff>
    </xdr:from>
    <xdr:to>
      <xdr:col>16</xdr:col>
      <xdr:colOff>247650</xdr:colOff>
      <xdr:row>54</xdr:row>
      <xdr:rowOff>114300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6</xdr:row>
      <xdr:rowOff>40060</xdr:rowOff>
    </xdr:from>
    <xdr:to>
      <xdr:col>4</xdr:col>
      <xdr:colOff>292100</xdr:colOff>
      <xdr:row>69</xdr:row>
      <xdr:rowOff>142876</xdr:rowOff>
    </xdr:to>
    <xdr:sp macro="" textlink="">
      <xdr:nvSpPr>
        <xdr:cNvPr id="2" name="Rectangle 1"/>
        <xdr:cNvSpPr/>
      </xdr:nvSpPr>
      <xdr:spPr>
        <a:xfrm>
          <a:off x="0" y="1183060"/>
          <a:ext cx="2705100" cy="12104316"/>
        </a:xfrm>
        <a:prstGeom prst="rect">
          <a:avLst/>
        </a:prstGeom>
        <a:solidFill>
          <a:srgbClr val="0066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49207</xdr:colOff>
      <xdr:row>0</xdr:row>
      <xdr:rowOff>0</xdr:rowOff>
    </xdr:from>
    <xdr:to>
      <xdr:col>31</xdr:col>
      <xdr:colOff>15874</xdr:colOff>
      <xdr:row>7</xdr:row>
      <xdr:rowOff>101600</xdr:rowOff>
    </xdr:to>
    <xdr:sp macro="" textlink="">
      <xdr:nvSpPr>
        <xdr:cNvPr id="3" name="Rectangle 2"/>
        <xdr:cNvSpPr/>
      </xdr:nvSpPr>
      <xdr:spPr>
        <a:xfrm>
          <a:off x="49207" y="0"/>
          <a:ext cx="18667417" cy="1435100"/>
        </a:xfrm>
        <a:prstGeom prst="rect">
          <a:avLst/>
        </a:prstGeom>
        <a:solidFill>
          <a:srgbClr val="0066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4800" b="1">
              <a:solidFill>
                <a:schemeClr val="bg1">
                  <a:lumMod val="95000"/>
                </a:schemeClr>
              </a:solidFill>
              <a:latin typeface="Sitka Heading Semibold" pitchFamily="2" charset="0"/>
            </a:rPr>
            <a:t>Smart Agriculture Yield</a:t>
          </a:r>
          <a:r>
            <a:rPr lang="en-US" sz="4800" b="1" baseline="0">
              <a:solidFill>
                <a:schemeClr val="bg1">
                  <a:lumMod val="95000"/>
                </a:schemeClr>
              </a:solidFill>
              <a:latin typeface="Sitka Heading Semibold" pitchFamily="2" charset="0"/>
            </a:rPr>
            <a:t> Intelligence Dashboard</a:t>
          </a:r>
          <a:endParaRPr lang="en-US" sz="4800" b="1">
            <a:solidFill>
              <a:schemeClr val="bg1">
                <a:lumMod val="95000"/>
              </a:schemeClr>
            </a:solidFill>
            <a:latin typeface="Sitka Heading Semibold" pitchFamily="2" charset="0"/>
          </a:endParaRPr>
        </a:p>
      </xdr:txBody>
    </xdr:sp>
    <xdr:clientData/>
  </xdr:twoCellAnchor>
  <xdr:twoCellAnchor>
    <xdr:from>
      <xdr:col>31</xdr:col>
      <xdr:colOff>373628</xdr:colOff>
      <xdr:row>0</xdr:row>
      <xdr:rowOff>0</xdr:rowOff>
    </xdr:from>
    <xdr:to>
      <xdr:col>42</xdr:col>
      <xdr:colOff>452876</xdr:colOff>
      <xdr:row>33</xdr:row>
      <xdr:rowOff>63500</xdr:rowOff>
    </xdr:to>
    <xdr:sp macro="" textlink="">
      <xdr:nvSpPr>
        <xdr:cNvPr id="5" name="Rectangle 4"/>
        <xdr:cNvSpPr/>
      </xdr:nvSpPr>
      <xdr:spPr>
        <a:xfrm>
          <a:off x="19074378" y="0"/>
          <a:ext cx="6714998" cy="6350000"/>
        </a:xfrm>
        <a:prstGeom prst="rect">
          <a:avLst/>
        </a:prstGeom>
        <a:ln>
          <a:noFill/>
        </a:ln>
        <a:effectLst/>
        <a:scene3d>
          <a:camera prst="orthographicFront">
            <a:rot lat="0" lon="0" rev="0"/>
          </a:camera>
          <a:lightRig rig="contrasting" dir="t">
            <a:rot lat="0" lon="0" rev="7800000"/>
          </a:lightRig>
        </a:scene3d>
        <a:sp3d>
          <a:bevelT w="139700" h="139700"/>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b="1">
              <a:solidFill>
                <a:schemeClr val="tx1"/>
              </a:solidFill>
              <a:latin typeface="Arial" panose="020B0604020202020204" pitchFamily="34" charset="0"/>
              <a:cs typeface="Arial" panose="020B0604020202020204" pitchFamily="34" charset="0"/>
            </a:rPr>
            <a:t>This</a:t>
          </a:r>
          <a:r>
            <a:rPr lang="en-US" sz="1400" b="1" baseline="0">
              <a:solidFill>
                <a:schemeClr val="tx1"/>
              </a:solidFill>
              <a:latin typeface="Arial" panose="020B0604020202020204" pitchFamily="34" charset="0"/>
              <a:cs typeface="Arial" panose="020B0604020202020204" pitchFamily="34" charset="0"/>
            </a:rPr>
            <a:t> analysis reveals that crop productivity is primarily driven by regional performance,fertilizer selection,seasonal conditions, with Central USA,soybean cultivation,and inorganic fertilizer application delivering the strong yield outcomes.</a:t>
          </a:r>
        </a:p>
        <a:p>
          <a:pPr algn="l"/>
          <a:endParaRPr lang="en-US" sz="1400" b="1" baseline="0"/>
        </a:p>
        <a:p>
          <a:pPr algn="l"/>
          <a:r>
            <a:rPr lang="en-US" sz="2000" b="0" u="sng" baseline="0">
              <a:latin typeface="Humnst777 Blk BT" panose="020B0803030504030204" pitchFamily="34" charset="0"/>
            </a:rPr>
            <a:t>KEY INSIGHTS</a:t>
          </a:r>
        </a:p>
        <a:p>
          <a:pPr algn="l"/>
          <a:r>
            <a:rPr lang="en-US" sz="1600" b="0" u="none" baseline="0">
              <a:solidFill>
                <a:schemeClr val="tx1"/>
              </a:solidFill>
              <a:latin typeface="Arial" panose="020B0604020202020204" pitchFamily="34" charset="0"/>
              <a:cs typeface="Arial" panose="020B0604020202020204" pitchFamily="34" charset="0"/>
            </a:rPr>
            <a:t>1. Central USA consistently outperformed other regions, achieving the highest average crop yield and demonstrating strong agricultural efficiency.</a:t>
          </a:r>
        </a:p>
        <a:p>
          <a:pPr algn="l"/>
          <a:endParaRPr lang="en-US" sz="1600" b="0" u="none" baseline="0">
            <a:solidFill>
              <a:schemeClr val="tx1"/>
            </a:solidFill>
            <a:latin typeface="Arial" panose="020B0604020202020204" pitchFamily="34" charset="0"/>
            <a:cs typeface="Arial" panose="020B0604020202020204" pitchFamily="34" charset="0"/>
          </a:endParaRPr>
        </a:p>
        <a:p>
          <a:pPr algn="l"/>
          <a:r>
            <a:rPr lang="en-US" sz="1600" b="0" u="none" baseline="0">
              <a:solidFill>
                <a:schemeClr val="tx1"/>
              </a:solidFill>
              <a:latin typeface="Arial" panose="020B0604020202020204" pitchFamily="34" charset="0"/>
              <a:cs typeface="Arial" panose="020B0604020202020204" pitchFamily="34" charset="0"/>
            </a:rPr>
            <a:t>2.Inorganic fertilizer showed superior yield performance,indicating that fertilizer selection has a significant impact on agricultural productivity.</a:t>
          </a:r>
        </a:p>
        <a:p>
          <a:pPr algn="l"/>
          <a:endParaRPr lang="en-US" sz="1600" b="0" u="none" baseline="0">
            <a:solidFill>
              <a:schemeClr val="tx1"/>
            </a:solidFill>
            <a:latin typeface="Arial" panose="020B0604020202020204" pitchFamily="34" charset="0"/>
            <a:cs typeface="Arial" panose="020B0604020202020204" pitchFamily="34" charset="0"/>
          </a:endParaRPr>
        </a:p>
        <a:p>
          <a:pPr algn="l"/>
          <a:r>
            <a:rPr lang="en-US" sz="1600" b="0" u="none" baseline="0">
              <a:solidFill>
                <a:schemeClr val="tx1"/>
              </a:solidFill>
              <a:latin typeface="Arial" panose="020B0604020202020204" pitchFamily="34" charset="0"/>
              <a:cs typeface="Arial" panose="020B0604020202020204" pitchFamily="34" charset="0"/>
            </a:rPr>
            <a:t>3.Disease severity negatively affected crop yield, with severe disease conditions resulting in noticeable yield reduction across crop types.</a:t>
          </a:r>
        </a:p>
        <a:p>
          <a:pPr algn="l"/>
          <a:endParaRPr lang="en-US" sz="1600" b="0" u="none" baseline="0">
            <a:solidFill>
              <a:schemeClr val="tx1"/>
            </a:solidFill>
            <a:latin typeface="Arial" panose="020B0604020202020204" pitchFamily="34" charset="0"/>
            <a:cs typeface="Arial" panose="020B0604020202020204" pitchFamily="34" charset="0"/>
          </a:endParaRPr>
        </a:p>
        <a:p>
          <a:pPr algn="l"/>
          <a:r>
            <a:rPr lang="en-US" sz="2000" b="0" u="sng" baseline="0">
              <a:solidFill>
                <a:sysClr val="windowText" lastClr="000000"/>
              </a:solidFill>
              <a:latin typeface="Humnst777 Blk BT" panose="020B0803030504030204" pitchFamily="34" charset="0"/>
            </a:rPr>
            <a:t>RECOMMEDATION</a:t>
          </a:r>
        </a:p>
        <a:p>
          <a:pPr algn="l"/>
          <a:r>
            <a:rPr lang="en-US" sz="1600" b="0" u="none" baseline="0">
              <a:solidFill>
                <a:schemeClr val="tx1"/>
              </a:solidFill>
              <a:latin typeface="Arial" panose="020B0604020202020204" pitchFamily="34" charset="0"/>
              <a:cs typeface="Arial" panose="020B0604020202020204" pitchFamily="34" charset="0"/>
            </a:rPr>
            <a:t>1.Promote efficient fertilizer management pratices,particulary the adoption of high-performing fertilizer types, to maximize agricultural output.</a:t>
          </a:r>
        </a:p>
        <a:p>
          <a:pPr algn="l"/>
          <a:endParaRPr lang="en-US" sz="1600" b="0" u="none" baseline="0">
            <a:solidFill>
              <a:schemeClr val="tx1"/>
            </a:solidFill>
            <a:latin typeface="Arial" panose="020B0604020202020204" pitchFamily="34" charset="0"/>
            <a:cs typeface="Arial" panose="020B0604020202020204" pitchFamily="34" charset="0"/>
          </a:endParaRPr>
        </a:p>
        <a:p>
          <a:pPr algn="l"/>
          <a:r>
            <a:rPr lang="en-US" sz="1600" b="0" u="none" baseline="0">
              <a:solidFill>
                <a:schemeClr val="tx1"/>
              </a:solidFill>
              <a:latin typeface="Arial" panose="020B0604020202020204" pitchFamily="34" charset="0"/>
              <a:cs typeface="Arial" panose="020B0604020202020204" pitchFamily="34" charset="0"/>
            </a:rPr>
            <a:t>2.Strength disease prevention and early intervention stretegies to minize crop losses and improve overall farm productivity.</a:t>
          </a:r>
        </a:p>
        <a:p>
          <a:pPr algn="l"/>
          <a:endParaRPr lang="en-US" sz="1600" b="0" u="none" baseline="0">
            <a:solidFill>
              <a:schemeClr val="tx1"/>
            </a:solidFill>
            <a:latin typeface="Arial" panose="020B0604020202020204" pitchFamily="34" charset="0"/>
            <a:cs typeface="Arial" panose="020B0604020202020204" pitchFamily="34" charset="0"/>
          </a:endParaRPr>
        </a:p>
        <a:p>
          <a:pPr algn="l"/>
          <a:r>
            <a:rPr lang="en-US" sz="1600" b="0" u="none" baseline="0">
              <a:solidFill>
                <a:schemeClr val="tx1"/>
              </a:solidFill>
              <a:latin typeface="Arial" panose="020B0604020202020204" pitchFamily="34" charset="0"/>
              <a:cs typeface="Arial" panose="020B0604020202020204" pitchFamily="34" charset="0"/>
            </a:rPr>
            <a:t>3.Encourage Knowledge transfer from high-perfroming regions through farmer eduation, extension services, and best-pratice sharing</a:t>
          </a:r>
        </a:p>
      </xdr:txBody>
    </xdr:sp>
    <xdr:clientData/>
  </xdr:twoCellAnchor>
  <xdr:twoCellAnchor editAs="oneCell">
    <xdr:from>
      <xdr:col>0</xdr:col>
      <xdr:colOff>0</xdr:colOff>
      <xdr:row>0</xdr:row>
      <xdr:rowOff>0</xdr:rowOff>
    </xdr:from>
    <xdr:to>
      <xdr:col>2</xdr:col>
      <xdr:colOff>368300</xdr:colOff>
      <xdr:row>7</xdr:row>
      <xdr:rowOff>25400</xdr:rowOff>
    </xdr:to>
    <xdr:pic>
      <xdr:nvPicPr>
        <xdr:cNvPr id="12" name="Picture 1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74800" cy="1358900"/>
        </a:xfrm>
        <a:prstGeom prst="rect">
          <a:avLst/>
        </a:prstGeom>
      </xdr:spPr>
    </xdr:pic>
    <xdr:clientData/>
  </xdr:twoCellAnchor>
  <xdr:oneCellAnchor>
    <xdr:from>
      <xdr:col>5</xdr:col>
      <xdr:colOff>384175</xdr:colOff>
      <xdr:row>3</xdr:row>
      <xdr:rowOff>180975</xdr:rowOff>
    </xdr:from>
    <xdr:ext cx="11704038" cy="541238"/>
    <xdr:sp macro="" textlink="">
      <xdr:nvSpPr>
        <xdr:cNvPr id="30" name="TextBox 29"/>
        <xdr:cNvSpPr txBox="1"/>
      </xdr:nvSpPr>
      <xdr:spPr>
        <a:xfrm>
          <a:off x="3432175" y="752475"/>
          <a:ext cx="11704038" cy="541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chemeClr val="bg1">
                  <a:lumMod val="95000"/>
                </a:schemeClr>
              </a:solidFill>
              <a:latin typeface="Sitka Heading Semibold" pitchFamily="2" charset="0"/>
            </a:rPr>
            <a:t>Analysing Crop Performance, Regional</a:t>
          </a:r>
          <a:r>
            <a:rPr lang="en-US" sz="2800" b="1" baseline="0">
              <a:solidFill>
                <a:schemeClr val="bg1">
                  <a:lumMod val="95000"/>
                </a:schemeClr>
              </a:solidFill>
              <a:latin typeface="Sitka Heading Semibold" pitchFamily="2" charset="0"/>
            </a:rPr>
            <a:t> Productivity and Yield Optimization</a:t>
          </a:r>
          <a:endParaRPr lang="en-US" sz="2800" b="1">
            <a:solidFill>
              <a:schemeClr val="bg1">
                <a:lumMod val="95000"/>
              </a:schemeClr>
            </a:solidFill>
            <a:latin typeface="Sitka Heading Semibold" pitchFamily="2" charset="0"/>
          </a:endParaRPr>
        </a:p>
      </xdr:txBody>
    </xdr:sp>
    <xdr:clientData/>
  </xdr:oneCellAnchor>
  <xdr:twoCellAnchor>
    <xdr:from>
      <xdr:col>4</xdr:col>
      <xdr:colOff>357556</xdr:colOff>
      <xdr:row>7</xdr:row>
      <xdr:rowOff>181158</xdr:rowOff>
    </xdr:from>
    <xdr:to>
      <xdr:col>10</xdr:col>
      <xdr:colOff>396926</xdr:colOff>
      <xdr:row>16</xdr:row>
      <xdr:rowOff>103434</xdr:rowOff>
    </xdr:to>
    <xdr:grpSp>
      <xdr:nvGrpSpPr>
        <xdr:cNvPr id="4" name="Group 3"/>
        <xdr:cNvGrpSpPr/>
      </xdr:nvGrpSpPr>
      <xdr:grpSpPr>
        <a:xfrm>
          <a:off x="2770556" y="1514658"/>
          <a:ext cx="3658870" cy="1636776"/>
          <a:chOff x="1633906" y="1551915"/>
          <a:chExt cx="3703320" cy="1636776"/>
        </a:xfrm>
      </xdr:grpSpPr>
      <xdr:grpSp>
        <xdr:nvGrpSpPr>
          <xdr:cNvPr id="53" name="Group 52"/>
          <xdr:cNvGrpSpPr/>
        </xdr:nvGrpSpPr>
        <xdr:grpSpPr>
          <a:xfrm>
            <a:off x="1633906" y="1551915"/>
            <a:ext cx="3703320" cy="1636776"/>
            <a:chOff x="1654191" y="1526515"/>
            <a:chExt cx="3705209" cy="1755967"/>
          </a:xfrm>
        </xdr:grpSpPr>
        <xdr:sp macro="" textlink="">
          <xdr:nvSpPr>
            <xdr:cNvPr id="27" name="Rounded Rectangle 26"/>
            <xdr:cNvSpPr/>
          </xdr:nvSpPr>
          <xdr:spPr>
            <a:xfrm>
              <a:off x="1654191" y="1526515"/>
              <a:ext cx="3705209" cy="1755967"/>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0" cap="none" spc="0">
                  <a:ln w="0"/>
                  <a:solidFill>
                    <a:schemeClr val="tx1"/>
                  </a:solidFill>
                  <a:effectLst>
                    <a:outerShdw blurRad="38100" dist="19050" dir="2700000" algn="tl" rotWithShape="0">
                      <a:schemeClr val="dk1">
                        <a:alpha val="40000"/>
                      </a:schemeClr>
                    </a:outerShdw>
                  </a:effectLst>
                  <a:latin typeface="Sitka Heading Semibold" pitchFamily="2" charset="0"/>
                </a:rPr>
                <a:t>Average</a:t>
              </a:r>
              <a:r>
                <a:rPr lang="en-US" sz="1800" b="0" cap="none" spc="0" baseline="0">
                  <a:ln w="0"/>
                  <a:solidFill>
                    <a:schemeClr val="tx1"/>
                  </a:solidFill>
                  <a:effectLst>
                    <a:outerShdw blurRad="38100" dist="19050" dir="2700000" algn="tl" rotWithShape="0">
                      <a:schemeClr val="dk1">
                        <a:alpha val="40000"/>
                      </a:schemeClr>
                    </a:outerShdw>
                  </a:effectLst>
                  <a:latin typeface="Sitka Heading Semibold" pitchFamily="2" charset="0"/>
                </a:rPr>
                <a:t> crop yield(kg/hectares)</a:t>
              </a:r>
              <a:endParaRPr lang="en-US" sz="1800" b="0" cap="none" spc="0">
                <a:ln w="0"/>
                <a:solidFill>
                  <a:schemeClr val="tx1"/>
                </a:solidFill>
                <a:effectLst>
                  <a:outerShdw blurRad="38100" dist="19050" dir="2700000" algn="tl" rotWithShape="0">
                    <a:schemeClr val="dk1">
                      <a:alpha val="40000"/>
                    </a:schemeClr>
                  </a:outerShdw>
                </a:effectLst>
                <a:latin typeface="Sitka Heading Semibold" pitchFamily="2" charset="0"/>
              </a:endParaRPr>
            </a:p>
          </xdr:txBody>
        </xdr:sp>
        <xdr:sp macro="" textlink="">
          <xdr:nvSpPr>
            <xdr:cNvPr id="17" name="TextBox 16"/>
            <xdr:cNvSpPr txBox="1"/>
          </xdr:nvSpPr>
          <xdr:spPr>
            <a:xfrm>
              <a:off x="2692406" y="2162701"/>
              <a:ext cx="2053855" cy="838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4400" b="0" i="0" u="none" strike="noStrike">
                  <a:solidFill>
                    <a:schemeClr val="tx1"/>
                  </a:solidFill>
                  <a:effectLst/>
                  <a:latin typeface="+mn-lt"/>
                  <a:ea typeface="+mn-ea"/>
                  <a:cs typeface="+mn-cs"/>
                </a:rPr>
                <a:t>4032.93</a:t>
              </a:r>
              <a:r>
                <a:rPr lang="en-US" sz="4400"/>
                <a:t> </a:t>
              </a:r>
            </a:p>
          </xdr:txBody>
        </xdr:sp>
      </xdr:grpSp>
      <xdr:pic>
        <xdr:nvPicPr>
          <xdr:cNvPr id="45" name="Picture 4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27200" y="2120900"/>
            <a:ext cx="825500" cy="825500"/>
          </a:xfrm>
          <a:prstGeom prst="rect">
            <a:avLst/>
          </a:prstGeom>
        </xdr:spPr>
      </xdr:pic>
    </xdr:grpSp>
    <xdr:clientData/>
  </xdr:twoCellAnchor>
  <xdr:twoCellAnchor>
    <xdr:from>
      <xdr:col>11</xdr:col>
      <xdr:colOff>252626</xdr:colOff>
      <xdr:row>7</xdr:row>
      <xdr:rowOff>180662</xdr:rowOff>
    </xdr:from>
    <xdr:to>
      <xdr:col>17</xdr:col>
      <xdr:colOff>298346</xdr:colOff>
      <xdr:row>16</xdr:row>
      <xdr:rowOff>102938</xdr:rowOff>
    </xdr:to>
    <xdr:grpSp>
      <xdr:nvGrpSpPr>
        <xdr:cNvPr id="54" name="Group 53"/>
        <xdr:cNvGrpSpPr/>
      </xdr:nvGrpSpPr>
      <xdr:grpSpPr>
        <a:xfrm>
          <a:off x="6888376" y="1514162"/>
          <a:ext cx="3665220" cy="1636776"/>
          <a:chOff x="5887524" y="1526515"/>
          <a:chExt cx="3705209" cy="1635785"/>
        </a:xfrm>
      </xdr:grpSpPr>
      <xdr:sp macro="" textlink="">
        <xdr:nvSpPr>
          <xdr:cNvPr id="44" name="Rounded Rectangle 43"/>
          <xdr:cNvSpPr/>
        </xdr:nvSpPr>
        <xdr:spPr>
          <a:xfrm>
            <a:off x="5887524" y="1526515"/>
            <a:ext cx="3705209" cy="1635785"/>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0" cap="none" spc="0">
                <a:ln w="0"/>
                <a:solidFill>
                  <a:schemeClr val="tx1"/>
                </a:solidFill>
                <a:effectLst>
                  <a:outerShdw blurRad="38100" dist="19050" dir="2700000" algn="tl" rotWithShape="0">
                    <a:schemeClr val="dk1">
                      <a:alpha val="40000"/>
                    </a:schemeClr>
                  </a:outerShdw>
                </a:effectLst>
                <a:latin typeface="Sitka Heading Semibold" pitchFamily="2" charset="0"/>
              </a:rPr>
              <a:t>Top performing Region</a:t>
            </a:r>
          </a:p>
        </xdr:txBody>
      </xdr:sp>
      <xdr:pic>
        <xdr:nvPicPr>
          <xdr:cNvPr id="46" name="Picture 45"/>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007100" y="2120900"/>
            <a:ext cx="812800" cy="812800"/>
          </a:xfrm>
          <a:prstGeom prst="rect">
            <a:avLst/>
          </a:prstGeom>
        </xdr:spPr>
      </xdr:pic>
      <xdr:sp macro="" textlink="">
        <xdr:nvSpPr>
          <xdr:cNvPr id="47" name="TextBox 46"/>
          <xdr:cNvSpPr txBox="1"/>
        </xdr:nvSpPr>
        <xdr:spPr>
          <a:xfrm>
            <a:off x="6972300" y="2197100"/>
            <a:ext cx="242560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600"/>
              <a:t>Central</a:t>
            </a:r>
            <a:r>
              <a:rPr lang="en-US" sz="3600" baseline="0"/>
              <a:t> USA</a:t>
            </a:r>
            <a:endParaRPr lang="en-US" sz="3600"/>
          </a:p>
        </xdr:txBody>
      </xdr:sp>
    </xdr:grpSp>
    <xdr:clientData/>
  </xdr:twoCellAnchor>
  <xdr:twoCellAnchor>
    <xdr:from>
      <xdr:col>18</xdr:col>
      <xdr:colOff>154046</xdr:colOff>
      <xdr:row>7</xdr:row>
      <xdr:rowOff>181158</xdr:rowOff>
    </xdr:from>
    <xdr:to>
      <xdr:col>24</xdr:col>
      <xdr:colOff>201655</xdr:colOff>
      <xdr:row>16</xdr:row>
      <xdr:rowOff>102443</xdr:rowOff>
    </xdr:to>
    <xdr:grpSp>
      <xdr:nvGrpSpPr>
        <xdr:cNvPr id="55" name="Group 54"/>
        <xdr:cNvGrpSpPr/>
      </xdr:nvGrpSpPr>
      <xdr:grpSpPr>
        <a:xfrm>
          <a:off x="11012546" y="1514658"/>
          <a:ext cx="3667109" cy="1635785"/>
          <a:chOff x="10120857" y="1526515"/>
          <a:chExt cx="3705209" cy="1635785"/>
        </a:xfrm>
      </xdr:grpSpPr>
      <xdr:sp macro="" textlink="">
        <xdr:nvSpPr>
          <xdr:cNvPr id="42" name="Rounded Rectangle 41"/>
          <xdr:cNvSpPr/>
        </xdr:nvSpPr>
        <xdr:spPr>
          <a:xfrm>
            <a:off x="10120857" y="1526515"/>
            <a:ext cx="3705209" cy="1635785"/>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0" cap="none" spc="0">
                <a:ln w="0"/>
                <a:solidFill>
                  <a:schemeClr val="tx1"/>
                </a:solidFill>
                <a:effectLst>
                  <a:outerShdw blurRad="38100" dist="19050" dir="2700000" algn="tl" rotWithShape="0">
                    <a:schemeClr val="dk1">
                      <a:alpha val="40000"/>
                    </a:schemeClr>
                  </a:outerShdw>
                </a:effectLst>
                <a:latin typeface="Sitka Heading Semibold" pitchFamily="2" charset="0"/>
              </a:rPr>
              <a:t>Best Fertilizer</a:t>
            </a:r>
          </a:p>
        </xdr:txBody>
      </xdr:sp>
      <xdr:pic>
        <xdr:nvPicPr>
          <xdr:cNvPr id="49" name="Picture 48"/>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210801" y="2159001"/>
            <a:ext cx="825499" cy="825499"/>
          </a:xfrm>
          <a:prstGeom prst="rect">
            <a:avLst/>
          </a:prstGeom>
        </xdr:spPr>
      </xdr:pic>
      <xdr:sp macro="" textlink="">
        <xdr:nvSpPr>
          <xdr:cNvPr id="50" name="TextBox 49"/>
          <xdr:cNvSpPr txBox="1"/>
        </xdr:nvSpPr>
        <xdr:spPr>
          <a:xfrm>
            <a:off x="11176000" y="2171700"/>
            <a:ext cx="2317942" cy="781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4400"/>
              <a:t>Inorganic</a:t>
            </a:r>
          </a:p>
        </xdr:txBody>
      </xdr:sp>
    </xdr:grpSp>
    <xdr:clientData/>
  </xdr:twoCellAnchor>
  <xdr:twoCellAnchor>
    <xdr:from>
      <xdr:col>25</xdr:col>
      <xdr:colOff>57356</xdr:colOff>
      <xdr:row>7</xdr:row>
      <xdr:rowOff>181654</xdr:rowOff>
    </xdr:from>
    <xdr:to>
      <xdr:col>31</xdr:col>
      <xdr:colOff>104965</xdr:colOff>
      <xdr:row>16</xdr:row>
      <xdr:rowOff>102939</xdr:rowOff>
    </xdr:to>
    <xdr:grpSp>
      <xdr:nvGrpSpPr>
        <xdr:cNvPr id="56" name="Group 55"/>
        <xdr:cNvGrpSpPr/>
      </xdr:nvGrpSpPr>
      <xdr:grpSpPr>
        <a:xfrm>
          <a:off x="15138606" y="1515154"/>
          <a:ext cx="3667109" cy="1635785"/>
          <a:chOff x="14354191" y="1526515"/>
          <a:chExt cx="3705209" cy="1635785"/>
        </a:xfrm>
      </xdr:grpSpPr>
      <xdr:sp macro="" textlink="">
        <xdr:nvSpPr>
          <xdr:cNvPr id="43" name="Rounded Rectangle 42"/>
          <xdr:cNvSpPr/>
        </xdr:nvSpPr>
        <xdr:spPr>
          <a:xfrm>
            <a:off x="14354191" y="1526515"/>
            <a:ext cx="3705209" cy="1635785"/>
          </a:xfrm>
          <a:prstGeom prst="round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0" cap="none" spc="0">
                <a:ln w="0"/>
                <a:solidFill>
                  <a:schemeClr val="tx1"/>
                </a:solidFill>
                <a:effectLst>
                  <a:outerShdw blurRad="38100" dist="19050" dir="2700000" algn="tl" rotWithShape="0">
                    <a:schemeClr val="dk1">
                      <a:alpha val="40000"/>
                    </a:schemeClr>
                  </a:outerShdw>
                </a:effectLst>
                <a:latin typeface="Sitka Heading Semibold" pitchFamily="2" charset="0"/>
              </a:rPr>
              <a:t>Top Crop Type</a:t>
            </a:r>
          </a:p>
        </xdr:txBody>
      </xdr:sp>
      <xdr:pic>
        <xdr:nvPicPr>
          <xdr:cNvPr id="51" name="Picture 50"/>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452600" y="2176646"/>
            <a:ext cx="736600" cy="820554"/>
          </a:xfrm>
          <a:prstGeom prst="rect">
            <a:avLst/>
          </a:prstGeom>
        </xdr:spPr>
      </xdr:pic>
      <xdr:sp macro="" textlink="">
        <xdr:nvSpPr>
          <xdr:cNvPr id="52" name="TextBox 51"/>
          <xdr:cNvSpPr txBox="1"/>
        </xdr:nvSpPr>
        <xdr:spPr>
          <a:xfrm>
            <a:off x="15379700" y="2184400"/>
            <a:ext cx="1962973"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4000"/>
              <a:t>Soybean</a:t>
            </a:r>
          </a:p>
        </xdr:txBody>
      </xdr:sp>
    </xdr:grpSp>
    <xdr:clientData/>
  </xdr:twoCellAnchor>
  <xdr:oneCellAnchor>
    <xdr:from>
      <xdr:col>36</xdr:col>
      <xdr:colOff>584200</xdr:colOff>
      <xdr:row>12</xdr:row>
      <xdr:rowOff>12700</xdr:rowOff>
    </xdr:from>
    <xdr:ext cx="184731" cy="264560"/>
    <xdr:sp macro="" textlink="">
      <xdr:nvSpPr>
        <xdr:cNvPr id="9" name="TextBox 8"/>
        <xdr:cNvSpPr txBox="1"/>
      </xdr:nvSpPr>
      <xdr:spPr>
        <a:xfrm>
          <a:off x="22529800" y="229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303212</xdr:colOff>
      <xdr:row>17</xdr:row>
      <xdr:rowOff>85725</xdr:rowOff>
    </xdr:from>
    <xdr:to>
      <xdr:col>20</xdr:col>
      <xdr:colOff>571436</xdr:colOff>
      <xdr:row>43</xdr:row>
      <xdr:rowOff>43053</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309562</xdr:colOff>
      <xdr:row>44</xdr:row>
      <xdr:rowOff>31750</xdr:rowOff>
    </xdr:from>
    <xdr:to>
      <xdr:col>20</xdr:col>
      <xdr:colOff>571436</xdr:colOff>
      <xdr:row>69</xdr:row>
      <xdr:rowOff>179578</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147637</xdr:colOff>
      <xdr:row>17</xdr:row>
      <xdr:rowOff>85725</xdr:rowOff>
    </xdr:from>
    <xdr:to>
      <xdr:col>31</xdr:col>
      <xdr:colOff>104965</xdr:colOff>
      <xdr:row>43</xdr:row>
      <xdr:rowOff>43053</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147637</xdr:colOff>
      <xdr:row>43</xdr:row>
      <xdr:rowOff>171450</xdr:rowOff>
    </xdr:from>
    <xdr:to>
      <xdr:col>31</xdr:col>
      <xdr:colOff>104965</xdr:colOff>
      <xdr:row>69</xdr:row>
      <xdr:rowOff>128778</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31</xdr:col>
      <xdr:colOff>373628</xdr:colOff>
      <xdr:row>35</xdr:row>
      <xdr:rowOff>15240</xdr:rowOff>
    </xdr:from>
    <xdr:to>
      <xdr:col>42</xdr:col>
      <xdr:colOff>452876</xdr:colOff>
      <xdr:row>69</xdr:row>
      <xdr:rowOff>128778</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47625</xdr:colOff>
      <xdr:row>8</xdr:row>
      <xdr:rowOff>10795</xdr:rowOff>
    </xdr:from>
    <xdr:to>
      <xdr:col>4</xdr:col>
      <xdr:colOff>140081</xdr:colOff>
      <xdr:row>24</xdr:row>
      <xdr:rowOff>163195</xdr:rowOff>
    </xdr:to>
    <mc:AlternateContent xmlns:mc="http://schemas.openxmlformats.org/markup-compatibility/2006" xmlns:a14="http://schemas.microsoft.com/office/drawing/2010/main">
      <mc:Choice Requires="a14">
        <xdr:graphicFrame macro="">
          <xdr:nvGraphicFramePr>
            <xdr:cNvPr id="7" name="Region"/>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625" y="1534795"/>
              <a:ext cx="2505456" cy="3200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42</xdr:row>
      <xdr:rowOff>25401</xdr:rowOff>
    </xdr:from>
    <xdr:to>
      <xdr:col>4</xdr:col>
      <xdr:colOff>183515</xdr:colOff>
      <xdr:row>58</xdr:row>
      <xdr:rowOff>186945</xdr:rowOff>
    </xdr:to>
    <mc:AlternateContent xmlns:mc="http://schemas.openxmlformats.org/markup-compatibility/2006" xmlns:a14="http://schemas.microsoft.com/office/drawing/2010/main">
      <mc:Choice Requires="a14">
        <xdr:graphicFrame macro="">
          <xdr:nvGraphicFramePr>
            <xdr:cNvPr id="8" name="Crop Type"/>
            <xdr:cNvGraphicFramePr/>
          </xdr:nvGraphicFramePr>
          <xdr:xfrm>
            <a:off x="0" y="0"/>
            <a:ext cx="0" cy="0"/>
          </xdr:xfrm>
          <a:graphic>
            <a:graphicData uri="http://schemas.microsoft.com/office/drawing/2010/slicer">
              <sle:slicer xmlns:sle="http://schemas.microsoft.com/office/drawing/2010/slicer" name="Crop Type"/>
            </a:graphicData>
          </a:graphic>
        </xdr:graphicFrame>
      </mc:Choice>
      <mc:Fallback xmlns="">
        <xdr:sp macro="" textlink="">
          <xdr:nvSpPr>
            <xdr:cNvPr id="0" name=""/>
            <xdr:cNvSpPr>
              <a:spLocks noTextEdit="1"/>
            </xdr:cNvSpPr>
          </xdr:nvSpPr>
          <xdr:spPr>
            <a:xfrm>
              <a:off x="47625" y="8026401"/>
              <a:ext cx="2548890" cy="32095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23</xdr:row>
      <xdr:rowOff>168276</xdr:rowOff>
    </xdr:from>
    <xdr:to>
      <xdr:col>4</xdr:col>
      <xdr:colOff>140081</xdr:colOff>
      <xdr:row>40</xdr:row>
      <xdr:rowOff>139320</xdr:rowOff>
    </xdr:to>
    <mc:AlternateContent xmlns:mc="http://schemas.openxmlformats.org/markup-compatibility/2006" xmlns:a14="http://schemas.microsoft.com/office/drawing/2010/main">
      <mc:Choice Requires="a14">
        <xdr:graphicFrame macro="">
          <xdr:nvGraphicFramePr>
            <xdr:cNvPr id="11" name="Harvest_month"/>
            <xdr:cNvGraphicFramePr/>
          </xdr:nvGraphicFramePr>
          <xdr:xfrm>
            <a:off x="0" y="0"/>
            <a:ext cx="0" cy="0"/>
          </xdr:xfrm>
          <a:graphic>
            <a:graphicData uri="http://schemas.microsoft.com/office/drawing/2010/slicer">
              <sle:slicer xmlns:sle="http://schemas.microsoft.com/office/drawing/2010/slicer" name="Harvest_month"/>
            </a:graphicData>
          </a:graphic>
        </xdr:graphicFrame>
      </mc:Choice>
      <mc:Fallback xmlns="">
        <xdr:sp macro="" textlink="">
          <xdr:nvSpPr>
            <xdr:cNvPr id="0" name=""/>
            <xdr:cNvSpPr>
              <a:spLocks noTextEdit="1"/>
            </xdr:cNvSpPr>
          </xdr:nvSpPr>
          <xdr:spPr>
            <a:xfrm>
              <a:off x="47625" y="4549776"/>
              <a:ext cx="2505456" cy="32095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27</xdr:col>
      <xdr:colOff>79375</xdr:colOff>
      <xdr:row>5</xdr:row>
      <xdr:rowOff>15875</xdr:rowOff>
    </xdr:from>
    <xdr:ext cx="3619500" cy="666750"/>
    <xdr:sp macro="" textlink="">
      <xdr:nvSpPr>
        <xdr:cNvPr id="6" name="TextBox 5"/>
        <xdr:cNvSpPr txBox="1"/>
      </xdr:nvSpPr>
      <xdr:spPr>
        <a:xfrm>
          <a:off x="16367125" y="968375"/>
          <a:ext cx="3619500" cy="666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a:solidFill>
                <a:schemeClr val="bg1"/>
              </a:solidFill>
              <a:latin typeface="Arial Black" panose="020B0A04020102020204" pitchFamily="34" charset="0"/>
            </a:rPr>
            <a:t>13th</a:t>
          </a:r>
          <a:r>
            <a:rPr lang="en-US" sz="2000" baseline="0">
              <a:solidFill>
                <a:schemeClr val="bg1"/>
              </a:solidFill>
              <a:latin typeface="Arial Black" panose="020B0A04020102020204" pitchFamily="34" charset="0"/>
            </a:rPr>
            <a:t> June 2026</a:t>
          </a:r>
          <a:endParaRPr lang="en-US" sz="2000">
            <a:solidFill>
              <a:schemeClr val="bg1"/>
            </a:solidFill>
            <a:latin typeface="Arial Black" panose="020B0A04020102020204"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r:id="rId1" refreshedBy="User" refreshedDate="46170.463384722221" createdVersion="5" refreshedVersion="5" minRefreshableVersion="3" recordCount="5">
  <cacheSource type="worksheet">
    <worksheetSource name="Best_region" sheet="Chart"/>
  </cacheSource>
  <cacheFields count="2">
    <cacheField name="region" numFmtId="0">
      <sharedItems count="5">
        <s v="Central USA"/>
        <s v="East Africa"/>
        <s v="North India"/>
        <s v="South India"/>
        <s v="South USA"/>
      </sharedItems>
    </cacheField>
    <cacheField name="total_yield" numFmtId="0">
      <sharedItems containsSemiMixedTypes="0" containsString="0" containsNumber="1" minValue="374538.19" maxValue="437426.1"/>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170.470384143518" createdVersion="5" refreshedVersion="5" minRefreshableVersion="3" recordCount="25">
  <cacheSource type="worksheet">
    <worksheetSource name="crop_type" sheet="Chart"/>
  </cacheSource>
  <cacheFields count="3">
    <cacheField name="region" numFmtId="0">
      <sharedItems count="5">
        <s v="South India"/>
        <s v="East Africa"/>
        <s v="Central USA"/>
        <s v="South USA"/>
        <s v="North India"/>
      </sharedItems>
    </cacheField>
    <cacheField name="crop_type" numFmtId="0">
      <sharedItems count="5">
        <s v="Rice"/>
        <s v="Cotton"/>
        <s v="Soybean"/>
        <s v="Wheat"/>
        <s v="Maize"/>
      </sharedItems>
    </cacheField>
    <cacheField name="total_yield" numFmtId="0">
      <sharedItems containsSemiMixedTypes="0" containsString="0" containsNumber="1" minValue="27189.35" maxValue="110227.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User" refreshedDate="46170.486137499996" createdVersion="5" refreshedVersion="5" minRefreshableVersion="3" recordCount="3">
  <cacheSource type="worksheet">
    <worksheetSource name="Fetilizer_1" sheet="Chart"/>
  </cacheSource>
  <cacheFields count="2">
    <cacheField name="fertilizer_type" numFmtId="0">
      <sharedItems count="3">
        <s v="Mixed"/>
        <s v="Organic"/>
        <s v="Inorganic"/>
      </sharedItems>
    </cacheField>
    <cacheField name="avg_yield" numFmtId="0">
      <sharedItems containsSemiMixedTypes="0" containsString="0" containsNumber="1" minValue="3972.41" maxValue="4087.12"/>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User" refreshedDate="46170.492842824075" createdVersion="5" refreshedVersion="5" minRefreshableVersion="3" recordCount="3">
  <cacheSource type="worksheet">
    <worksheetSource name="sowing_date" sheet="Chart"/>
  </cacheSource>
  <cacheFields count="2">
    <cacheField name="sowing_month" numFmtId="0">
      <sharedItems count="3">
        <s v="January  "/>
        <s v="February "/>
        <s v="March    "/>
      </sharedItems>
    </cacheField>
    <cacheField name="avg_yield" numFmtId="0">
      <sharedItems containsSemiMixedTypes="0" containsString="0" containsNumber="1" minValue="3979.46" maxValue="4110.92"/>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User" refreshedDate="46170.500661458333" createdVersion="5" refreshedVersion="5" minRefreshableVersion="3" recordCount="5">
  <cacheSource type="worksheet">
    <worksheetSource name="harvest_date" sheet="Chart"/>
  </cacheSource>
  <cacheFields count="2">
    <cacheField name="harvest_period" numFmtId="0">
      <sharedItems count="5">
        <s v="April    "/>
        <s v="May      "/>
        <s v="June     "/>
        <s v="July     "/>
        <s v="August   "/>
      </sharedItems>
    </cacheField>
    <cacheField name="avg_yield" numFmtId="0">
      <sharedItems containsSemiMixedTypes="0" containsString="0" containsNumber="1" minValue="3978.36" maxValue="4196.2"/>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r:id="rId1" refreshedBy="User" refreshedDate="46170.509861805556" createdVersion="5" refreshedVersion="5" minRefreshableVersion="3" recordCount="20">
  <cacheSource type="worksheet">
    <worksheetSource name="Disease_type" sheet="Chart"/>
  </cacheSource>
  <cacheFields count="3">
    <cacheField name="region" numFmtId="0">
      <sharedItems count="5">
        <s v="Central USA"/>
        <s v="East Africa"/>
        <s v="North India"/>
        <s v="South India"/>
        <s v="South USA"/>
      </sharedItems>
    </cacheField>
    <cacheField name="crop_disease_status" numFmtId="0">
      <sharedItems count="4">
        <s v="Mild"/>
        <s v="Moderate"/>
        <s v="None"/>
        <s v="Severe"/>
      </sharedItems>
    </cacheField>
    <cacheField name="avg_yield" numFmtId="0">
      <sharedItems containsSemiMixedTypes="0" containsString="0" containsNumber="1" minValue="3747.64" maxValue="4559.17"/>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r:id="rId1" refreshedBy="User" refreshedDate="46182.242035763891" createdVersion="5" refreshedVersion="5" minRefreshableVersion="3" recordCount="5">
  <cacheSource type="worksheet">
    <worksheetSource name="Harvest" sheet="Chart"/>
  </cacheSource>
  <cacheFields count="3">
    <cacheField name="harvest_month" numFmtId="0">
      <sharedItems count="5">
        <s v="April"/>
        <s v="May"/>
        <s v="June"/>
        <s v="July"/>
        <s v="August"/>
      </sharedItems>
    </cacheField>
    <cacheField name="month_no" numFmtId="0">
      <sharedItems containsSemiMixedTypes="0" containsString="0" containsNumber="1" containsInteger="1" minValue="4" maxValue="8" count="5">
        <n v="4"/>
        <n v="5"/>
        <n v="6"/>
        <n v="7"/>
        <n v="8"/>
      </sharedItems>
    </cacheField>
    <cacheField name="avg_yield" numFmtId="0">
      <sharedItems containsSemiMixedTypes="0" containsString="0" containsNumber="1" minValue="3978.36" maxValue="4196.2"/>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r:id="rId1" refreshedBy="User" refreshedDate="46185.489928356481" createdVersion="5" refreshedVersion="5" minRefreshableVersion="3" recordCount="500">
  <cacheSource type="worksheet">
    <worksheetSource name="Table1"/>
  </cacheSource>
  <cacheFields count="26">
    <cacheField name="farm_id" numFmtId="0">
      <sharedItems/>
    </cacheField>
    <cacheField name="region" numFmtId="0">
      <sharedItems count="5">
        <s v="North India"/>
        <s v="South USA"/>
        <s v="Central USA"/>
        <s v="East Africa"/>
        <s v="South India"/>
      </sharedItems>
    </cacheField>
    <cacheField name="crop_type" numFmtId="0">
      <sharedItems count="5">
        <s v="Wheat"/>
        <s v="Soybean"/>
        <s v="Maize"/>
        <s v="Cotton"/>
        <s v="Rice"/>
      </sharedItems>
    </cacheField>
    <cacheField name="soil_moisture_percent" numFmtId="0">
      <sharedItems containsSemiMixedTypes="0" containsString="0" containsNumber="1" minValue="10.16" maxValue="44.98"/>
    </cacheField>
    <cacheField name="soil_ph" numFmtId="0">
      <sharedItems containsSemiMixedTypes="0" containsString="0" containsNumber="1" minValue="5.51" maxValue="7.5"/>
    </cacheField>
    <cacheField name="temperature_c" numFmtId="0">
      <sharedItems containsSemiMixedTypes="0" containsString="0" containsNumber="1" minValue="15" maxValue="34.840000000000003"/>
    </cacheField>
    <cacheField name="rainfall_mm" numFmtId="0">
      <sharedItems containsSemiMixedTypes="0" containsString="0" containsNumber="1" minValue="50.17" maxValue="298.95999999999998"/>
    </cacheField>
    <cacheField name="humidity_percent" numFmtId="0">
      <sharedItems containsSemiMixedTypes="0" containsString="0" containsNumber="1" minValue="40.229999999999997" maxValue="90"/>
    </cacheField>
    <cacheField name="sunlight_hour" numFmtId="0">
      <sharedItems containsSemiMixedTypes="0" containsString="0" containsNumber="1" minValue="4.01" maxValue="10"/>
    </cacheField>
    <cacheField name="irrigation_type" numFmtId="0">
      <sharedItems/>
    </cacheField>
    <cacheField name="fertilizer_type" numFmtId="0">
      <sharedItems count="3">
        <s v="Organic"/>
        <s v="Inorganic"/>
        <s v="Mixed"/>
      </sharedItems>
    </cacheField>
    <cacheField name="pesticide_usage_ml" numFmtId="0">
      <sharedItems containsSemiMixedTypes="0" containsString="0" containsNumber="1" minValue="5.05" maxValue="49.94"/>
    </cacheField>
    <cacheField name="sowing_date" numFmtId="14">
      <sharedItems containsSemiMixedTypes="0" containsNonDate="0" containsDate="1" containsString="0" minDate="2024-01-01T00:00:00" maxDate="2024-03-29T00:00:00"/>
    </cacheField>
    <cacheField name="harvest_date" numFmtId="14">
      <sharedItems containsSemiMixedTypes="0" containsNonDate="0" containsDate="1" containsString="0" minDate="2024-04-09T00:00:00" maxDate="2024-08-18T00:00:00"/>
    </cacheField>
    <cacheField name="Harvest_month" numFmtId="14">
      <sharedItems count="5">
        <s v="May"/>
        <s v="June"/>
        <s v="July"/>
        <s v="April"/>
        <s v="August"/>
      </sharedItems>
    </cacheField>
    <cacheField name="total_days" numFmtId="0">
      <sharedItems containsSemiMixedTypes="0" containsString="0" containsNumber="1" containsInteger="1" minValue="90" maxValue="150"/>
    </cacheField>
    <cacheField name="yield_kg_per_hectare" numFmtId="0">
      <sharedItems containsSemiMixedTypes="0" containsString="0" containsNumber="1" minValue="2023.56" maxValue="5998.29"/>
    </cacheField>
    <cacheField name="sensor_id" numFmtId="0">
      <sharedItems/>
    </cacheField>
    <cacheField name="timestamp" numFmtId="14">
      <sharedItems containsSemiMixedTypes="0" containsNonDate="0" containsDate="1" containsString="0" minDate="2024-01-03T00:00:00" maxDate="2024-08-13T00:00:00"/>
    </cacheField>
    <cacheField name="latitude" numFmtId="0">
      <sharedItems containsSemiMixedTypes="0" containsString="0" containsNumber="1" minValue="10.004243000000001" maxValue="34.981530999999997"/>
    </cacheField>
    <cacheField name="longitude" numFmtId="0">
      <sharedItems containsSemiMixedTypes="0" containsString="0" containsNumber="1" minValue="70.020021" maxValue="89.991900999999999"/>
    </cacheField>
    <cacheField name="ndvi_index" numFmtId="0">
      <sharedItems containsSemiMixedTypes="0" containsString="0" containsNumber="1" minValue="0.3" maxValue="0.9"/>
    </cacheField>
    <cacheField name="crop_disease_status" numFmtId="0">
      <sharedItems count="4">
        <s v="Mild"/>
        <s v="None"/>
        <s v="Severe"/>
        <s v="Moderate"/>
      </sharedItems>
    </cacheField>
    <cacheField name="growth_days" numFmtId="0">
      <sharedItems containsSemiMixedTypes="0" containsString="0" containsNumber="1" containsInteger="1" minValue="90" maxValue="150"/>
    </cacheField>
    <cacheField name="yield_category" numFmtId="0">
      <sharedItems/>
    </cacheField>
    <cacheField name="pesticide_category" numFmtId="0">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5">
  <r>
    <x v="0"/>
    <n v="437426.1"/>
  </r>
  <r>
    <x v="1"/>
    <n v="433690.74"/>
  </r>
  <r>
    <x v="2"/>
    <n v="395625.94"/>
  </r>
  <r>
    <x v="3"/>
    <n v="375182.5"/>
  </r>
  <r>
    <x v="4"/>
    <n v="374538.19"/>
  </r>
</pivotCacheRecords>
</file>

<file path=xl/pivotCache/pivotCacheRecords2.xml><?xml version="1.0" encoding="utf-8"?>
<pivotCacheRecords xmlns="http://schemas.openxmlformats.org/spreadsheetml/2006/main" xmlns:r="http://schemas.openxmlformats.org/officeDocument/2006/relationships" count="25">
  <r>
    <x v="0"/>
    <x v="0"/>
    <n v="27189.35"/>
  </r>
  <r>
    <x v="1"/>
    <x v="1"/>
    <n v="92649.04"/>
  </r>
  <r>
    <x v="0"/>
    <x v="1"/>
    <n v="79458.61"/>
  </r>
  <r>
    <x v="1"/>
    <x v="2"/>
    <n v="110227.2"/>
  </r>
  <r>
    <x v="2"/>
    <x v="3"/>
    <n v="66419.95"/>
  </r>
  <r>
    <x v="1"/>
    <x v="3"/>
    <n v="60467.31"/>
  </r>
  <r>
    <x v="3"/>
    <x v="4"/>
    <n v="89111.12"/>
  </r>
  <r>
    <x v="3"/>
    <x v="1"/>
    <n v="72731.960000000006"/>
  </r>
  <r>
    <x v="2"/>
    <x v="2"/>
    <n v="107790.97"/>
  </r>
  <r>
    <x v="1"/>
    <x v="4"/>
    <n v="85340.94"/>
  </r>
  <r>
    <x v="4"/>
    <x v="1"/>
    <n v="73374.320000000007"/>
  </r>
  <r>
    <x v="3"/>
    <x v="3"/>
    <n v="81274.039999999994"/>
  </r>
  <r>
    <x v="1"/>
    <x v="0"/>
    <n v="85006.25"/>
  </r>
  <r>
    <x v="3"/>
    <x v="0"/>
    <n v="66688.55"/>
  </r>
  <r>
    <x v="2"/>
    <x v="4"/>
    <n v="90869.67"/>
  </r>
  <r>
    <x v="3"/>
    <x v="2"/>
    <n v="64732.52"/>
  </r>
  <r>
    <x v="4"/>
    <x v="3"/>
    <n v="82183.100000000006"/>
  </r>
  <r>
    <x v="0"/>
    <x v="4"/>
    <n v="86352.42"/>
  </r>
  <r>
    <x v="4"/>
    <x v="0"/>
    <n v="70082.7"/>
  </r>
  <r>
    <x v="0"/>
    <x v="3"/>
    <n v="84793.38"/>
  </r>
  <r>
    <x v="2"/>
    <x v="1"/>
    <n v="101825.60000000001"/>
  </r>
  <r>
    <x v="2"/>
    <x v="0"/>
    <n v="70519.91"/>
  </r>
  <r>
    <x v="4"/>
    <x v="4"/>
    <n v="90389.33"/>
  </r>
  <r>
    <x v="4"/>
    <x v="2"/>
    <n v="79596.490000000005"/>
  </r>
  <r>
    <x v="0"/>
    <x v="2"/>
    <n v="97388.74"/>
  </r>
</pivotCacheRecords>
</file>

<file path=xl/pivotCache/pivotCacheRecords3.xml><?xml version="1.0" encoding="utf-8"?>
<pivotCacheRecords xmlns="http://schemas.openxmlformats.org/spreadsheetml/2006/main" xmlns:r="http://schemas.openxmlformats.org/officeDocument/2006/relationships" count="3">
  <r>
    <x v="0"/>
    <n v="3972.41"/>
  </r>
  <r>
    <x v="1"/>
    <n v="4039.28"/>
  </r>
  <r>
    <x v="2"/>
    <n v="4087.12"/>
  </r>
</pivotCacheRecords>
</file>

<file path=xl/pivotCache/pivotCacheRecords4.xml><?xml version="1.0" encoding="utf-8"?>
<pivotCacheRecords xmlns="http://schemas.openxmlformats.org/spreadsheetml/2006/main" xmlns:r="http://schemas.openxmlformats.org/officeDocument/2006/relationships" count="3">
  <r>
    <x v="0"/>
    <n v="4018.53"/>
  </r>
  <r>
    <x v="1"/>
    <n v="4110.92"/>
  </r>
  <r>
    <x v="2"/>
    <n v="3979.46"/>
  </r>
</pivotCacheRecords>
</file>

<file path=xl/pivotCache/pivotCacheRecords5.xml><?xml version="1.0" encoding="utf-8"?>
<pivotCacheRecords xmlns="http://schemas.openxmlformats.org/spreadsheetml/2006/main" xmlns:r="http://schemas.openxmlformats.org/officeDocument/2006/relationships" count="5">
  <r>
    <x v="0"/>
    <n v="4029.33"/>
  </r>
  <r>
    <x v="1"/>
    <n v="4114.6000000000004"/>
  </r>
  <r>
    <x v="2"/>
    <n v="3978.36"/>
  </r>
  <r>
    <x v="3"/>
    <n v="3996.02"/>
  </r>
  <r>
    <x v="4"/>
    <n v="4196.2"/>
  </r>
</pivotCacheRecords>
</file>

<file path=xl/pivotCache/pivotCacheRecords6.xml><?xml version="1.0" encoding="utf-8"?>
<pivotCacheRecords xmlns="http://schemas.openxmlformats.org/spreadsheetml/2006/main" xmlns:r="http://schemas.openxmlformats.org/officeDocument/2006/relationships" count="20">
  <r>
    <x v="0"/>
    <x v="0"/>
    <n v="4056.61"/>
  </r>
  <r>
    <x v="0"/>
    <x v="1"/>
    <n v="3769.28"/>
  </r>
  <r>
    <x v="0"/>
    <x v="2"/>
    <n v="4313.01"/>
  </r>
  <r>
    <x v="0"/>
    <x v="3"/>
    <n v="3840.71"/>
  </r>
  <r>
    <x v="1"/>
    <x v="0"/>
    <n v="4086.13"/>
  </r>
  <r>
    <x v="1"/>
    <x v="1"/>
    <n v="4114.95"/>
  </r>
  <r>
    <x v="1"/>
    <x v="2"/>
    <n v="3966.04"/>
  </r>
  <r>
    <x v="1"/>
    <x v="3"/>
    <n v="4039.72"/>
  </r>
  <r>
    <x v="2"/>
    <x v="0"/>
    <n v="4128.42"/>
  </r>
  <r>
    <x v="2"/>
    <x v="1"/>
    <n v="3885.56"/>
  </r>
  <r>
    <x v="2"/>
    <x v="2"/>
    <n v="3990.27"/>
  </r>
  <r>
    <x v="2"/>
    <x v="3"/>
    <n v="3932.66"/>
  </r>
  <r>
    <x v="3"/>
    <x v="0"/>
    <n v="4035.34"/>
  </r>
  <r>
    <x v="3"/>
    <x v="1"/>
    <n v="4076.67"/>
  </r>
  <r>
    <x v="3"/>
    <x v="2"/>
    <n v="3807.86"/>
  </r>
  <r>
    <x v="3"/>
    <x v="3"/>
    <n v="4559.17"/>
  </r>
  <r>
    <x v="4"/>
    <x v="0"/>
    <n v="4153.84"/>
  </r>
  <r>
    <x v="4"/>
    <x v="1"/>
    <n v="3747.64"/>
  </r>
  <r>
    <x v="4"/>
    <x v="2"/>
    <n v="4263.53"/>
  </r>
  <r>
    <x v="4"/>
    <x v="3"/>
    <n v="3782.63"/>
  </r>
</pivotCacheRecords>
</file>

<file path=xl/pivotCache/pivotCacheRecords7.xml><?xml version="1.0" encoding="utf-8"?>
<pivotCacheRecords xmlns="http://schemas.openxmlformats.org/spreadsheetml/2006/main" xmlns:r="http://schemas.openxmlformats.org/officeDocument/2006/relationships" count="5">
  <r>
    <x v="0"/>
    <x v="0"/>
    <n v="4029.33"/>
  </r>
  <r>
    <x v="1"/>
    <x v="1"/>
    <n v="4114.6000000000004"/>
  </r>
  <r>
    <x v="2"/>
    <x v="2"/>
    <n v="3978.36"/>
  </r>
  <r>
    <x v="3"/>
    <x v="3"/>
    <n v="3996.02"/>
  </r>
  <r>
    <x v="4"/>
    <x v="4"/>
    <n v="4196.2"/>
  </r>
</pivotCacheRecords>
</file>

<file path=xl/pivotCache/pivotCacheRecords8.xml><?xml version="1.0" encoding="utf-8"?>
<pivotCacheRecords xmlns="http://schemas.openxmlformats.org/spreadsheetml/2006/main" xmlns:r="http://schemas.openxmlformats.org/officeDocument/2006/relationships" count="500">
  <r>
    <s v="FARM0001"/>
    <x v="0"/>
    <x v="0"/>
    <n v="35.950000000000003"/>
    <n v="5.99"/>
    <n v="17.79"/>
    <n v="75.62"/>
    <n v="77.03"/>
    <n v="7.27"/>
    <s v="None"/>
    <x v="0"/>
    <n v="6.34"/>
    <d v="2024-01-08T00:00:00"/>
    <d v="2024-05-09T00:00:00"/>
    <x v="0"/>
    <n v="122"/>
    <n v="4408.07"/>
    <s v="SENS0001"/>
    <d v="2024-03-19T00:00:00"/>
    <n v="14.970941"/>
    <n v="82.997688999999994"/>
    <n v="0.63"/>
    <x v="0"/>
    <n v="122"/>
    <s v="Medium"/>
    <s v="Low Usage"/>
  </r>
  <r>
    <s v="FARM0002"/>
    <x v="1"/>
    <x v="1"/>
    <n v="19.739999999999998"/>
    <n v="7.24"/>
    <n v="30.18"/>
    <n v="89.91"/>
    <n v="61.13"/>
    <n v="5.67"/>
    <s v="Sprinkler"/>
    <x v="1"/>
    <n v="9.6"/>
    <d v="2024-02-04T00:00:00"/>
    <d v="2024-05-26T00:00:00"/>
    <x v="0"/>
    <n v="112"/>
    <n v="5389.98"/>
    <s v="SENS0002"/>
    <d v="2024-04-21T00:00:00"/>
    <n v="16.613022000000001"/>
    <n v="70.869009000000005"/>
    <n v="0.57999999999999996"/>
    <x v="1"/>
    <n v="112"/>
    <s v="High"/>
    <s v="Low Usage"/>
  </r>
  <r>
    <s v="FARM0003"/>
    <x v="1"/>
    <x v="0"/>
    <n v="29.32"/>
    <n v="7.16"/>
    <n v="27.37"/>
    <n v="265.43"/>
    <n v="68.87"/>
    <n v="8.23"/>
    <s v="Drip"/>
    <x v="2"/>
    <n v="15.26"/>
    <d v="2024-02-03T00:00:00"/>
    <d v="2024-06-26T00:00:00"/>
    <x v="1"/>
    <n v="144"/>
    <n v="2931.16"/>
    <s v="SENS0003"/>
    <d v="2024-02-28T00:00:00"/>
    <n v="19.503156000000001"/>
    <n v="79.068206000000004"/>
    <n v="0.8"/>
    <x v="0"/>
    <n v="144"/>
    <s v="Low"/>
    <s v="Medium Usage"/>
  </r>
  <r>
    <s v="FARM0004"/>
    <x v="2"/>
    <x v="2"/>
    <n v="17.329999999999998"/>
    <n v="6.03"/>
    <n v="33.729999999999997"/>
    <n v="212.01"/>
    <n v="70.459999999999994"/>
    <n v="5.03"/>
    <s v="Sprinkler"/>
    <x v="0"/>
    <n v="25.8"/>
    <d v="2024-02-21T00:00:00"/>
    <d v="2024-07-04T00:00:00"/>
    <x v="2"/>
    <n v="134"/>
    <n v="4227.8"/>
    <s v="SENS0004"/>
    <d v="2024-05-14T00:00:00"/>
    <n v="31.071297999999999"/>
    <n v="85.519998000000001"/>
    <n v="0.44"/>
    <x v="1"/>
    <n v="134"/>
    <s v="Medium"/>
    <s v="Medium Usage"/>
  </r>
  <r>
    <s v="FARM0005"/>
    <x v="2"/>
    <x v="3"/>
    <n v="19.37"/>
    <n v="5.92"/>
    <n v="33.86"/>
    <n v="269.08999999999997"/>
    <n v="55.73"/>
    <n v="7.93"/>
    <s v="None"/>
    <x v="2"/>
    <n v="25.65"/>
    <d v="2024-02-05T00:00:00"/>
    <d v="2024-05-20T00:00:00"/>
    <x v="0"/>
    <n v="105"/>
    <n v="4979.96"/>
    <s v="SENS0005"/>
    <d v="2024-04-13T00:00:00"/>
    <n v="16.568539999999999"/>
    <n v="81.691720000000004"/>
    <n v="0.84"/>
    <x v="2"/>
    <n v="105"/>
    <s v="Medium"/>
    <s v="Medium Usage"/>
  </r>
  <r>
    <s v="FARM0006"/>
    <x v="2"/>
    <x v="4"/>
    <n v="44.91"/>
    <n v="5.78"/>
    <n v="24.87"/>
    <n v="238.95"/>
    <n v="83.06"/>
    <n v="4.92"/>
    <s v="Sprinkler"/>
    <x v="2"/>
    <n v="24"/>
    <d v="2024-01-13T00:00:00"/>
    <d v="2024-05-06T00:00:00"/>
    <x v="0"/>
    <n v="114"/>
    <n v="4383.55"/>
    <s v="SENS0006"/>
    <d v="2024-03-12T00:00:00"/>
    <n v="23.227858999999999"/>
    <n v="89.421567999999994"/>
    <n v="0.82"/>
    <x v="1"/>
    <n v="114"/>
    <s v="Medium"/>
    <s v="Medium Usage"/>
  </r>
  <r>
    <s v="FARM0007"/>
    <x v="0"/>
    <x v="1"/>
    <n v="36.28"/>
    <n v="7.04"/>
    <n v="21.8"/>
    <n v="123.38"/>
    <n v="47.91"/>
    <n v="4.0199999999999996"/>
    <s v="Manual"/>
    <x v="2"/>
    <n v="39.29"/>
    <d v="2024-03-04T00:00:00"/>
    <d v="2024-07-27T00:00:00"/>
    <x v="2"/>
    <n v="145"/>
    <n v="4501.2"/>
    <s v="SENS0007"/>
    <d v="2024-07-11T00:00:00"/>
    <n v="25.224254999999999"/>
    <n v="73.056785000000005"/>
    <n v="0.76"/>
    <x v="1"/>
    <n v="145"/>
    <s v="Medium"/>
    <s v="High Usage"/>
  </r>
  <r>
    <s v="FARM0008"/>
    <x v="3"/>
    <x v="2"/>
    <n v="27.1"/>
    <n v="5.72"/>
    <n v="22.26"/>
    <n v="296.33"/>
    <n v="80.34"/>
    <n v="5.44"/>
    <s v="Sprinkler"/>
    <x v="2"/>
    <n v="47.61"/>
    <d v="2024-01-24T00:00:00"/>
    <d v="2024-05-24T00:00:00"/>
    <x v="0"/>
    <n v="121"/>
    <n v="5264.09"/>
    <s v="SENS0008"/>
    <d v="2024-04-30T00:00:00"/>
    <n v="23.317654000000001"/>
    <n v="72.515209999999996"/>
    <n v="0.7"/>
    <x v="0"/>
    <n v="121"/>
    <s v="High"/>
    <s v="High Usage"/>
  </r>
  <r>
    <s v="FARM0009"/>
    <x v="2"/>
    <x v="1"/>
    <n v="40.54"/>
    <n v="6.35"/>
    <n v="19.239999999999998"/>
    <n v="184.82"/>
    <n v="76.5"/>
    <n v="5.21"/>
    <s v="Manual"/>
    <x v="1"/>
    <n v="49.78"/>
    <d v="2024-03-12T00:00:00"/>
    <d v="2024-07-08T00:00:00"/>
    <x v="2"/>
    <n v="118"/>
    <n v="5598.46"/>
    <s v="SENS0009"/>
    <d v="2024-05-08T00:00:00"/>
    <n v="13.025105"/>
    <n v="74.493947000000006"/>
    <n v="0.5"/>
    <x v="0"/>
    <n v="118"/>
    <s v="High"/>
    <s v="High Usage"/>
  </r>
  <r>
    <s v="FARM0010"/>
    <x v="3"/>
    <x v="4"/>
    <n v="10.25"/>
    <n v="6.92"/>
    <n v="16.18"/>
    <n v="66.849999999999994"/>
    <n v="41.57"/>
    <n v="5.98"/>
    <s v="Sprinkler"/>
    <x v="1"/>
    <n v="35.1"/>
    <d v="2024-01-18T00:00:00"/>
    <d v="2024-04-25T00:00:00"/>
    <x v="3"/>
    <n v="98"/>
    <n v="4893.41"/>
    <s v="SENS0010"/>
    <d v="2024-03-31T00:00:00"/>
    <n v="24.405290999999998"/>
    <n v="74.859944999999996"/>
    <n v="0.57999999999999996"/>
    <x v="2"/>
    <n v="98"/>
    <s v="Medium"/>
    <s v="Medium Usage"/>
  </r>
  <r>
    <s v="FARM0011"/>
    <x v="4"/>
    <x v="0"/>
    <n v="13.39"/>
    <n v="6.36"/>
    <n v="23.47"/>
    <n v="166.76"/>
    <n v="76.45"/>
    <n v="8.0399999999999991"/>
    <s v="Drip"/>
    <x v="0"/>
    <n v="23.12"/>
    <d v="2024-02-26T00:00:00"/>
    <d v="2024-07-20T00:00:00"/>
    <x v="2"/>
    <n v="145"/>
    <n v="2437.08"/>
    <s v="SENS0011"/>
    <d v="2024-04-15T00:00:00"/>
    <n v="14.755223000000001"/>
    <n v="78.972271000000006"/>
    <n v="0.55000000000000004"/>
    <x v="3"/>
    <n v="145"/>
    <s v="Low"/>
    <s v="Medium Usage"/>
  </r>
  <r>
    <s v="FARM0012"/>
    <x v="1"/>
    <x v="4"/>
    <n v="40.61"/>
    <n v="5.65"/>
    <n v="31.16"/>
    <n v="263.99"/>
    <n v="44.9"/>
    <n v="7.91"/>
    <s v="Drip"/>
    <x v="0"/>
    <n v="46.69"/>
    <d v="2024-01-06T00:00:00"/>
    <d v="2024-05-01T00:00:00"/>
    <x v="0"/>
    <n v="116"/>
    <n v="3942.56"/>
    <s v="SENS0012"/>
    <d v="2024-02-02T00:00:00"/>
    <n v="31.61626"/>
    <n v="88.048856999999998"/>
    <n v="0.4"/>
    <x v="1"/>
    <n v="116"/>
    <s v="Medium"/>
    <s v="High Usage"/>
  </r>
  <r>
    <s v="FARM0013"/>
    <x v="1"/>
    <x v="2"/>
    <n v="42.43"/>
    <n v="7.07"/>
    <n v="20.7"/>
    <n v="224.15"/>
    <n v="76.53"/>
    <n v="8.6999999999999993"/>
    <s v="None"/>
    <x v="0"/>
    <n v="13.55"/>
    <d v="2024-01-02T00:00:00"/>
    <d v="2024-05-08T00:00:00"/>
    <x v="0"/>
    <n v="127"/>
    <n v="4942.95"/>
    <s v="SENS0013"/>
    <d v="2024-01-17T00:00:00"/>
    <n v="28.699389"/>
    <n v="71.143304999999998"/>
    <n v="0.65"/>
    <x v="0"/>
    <n v="127"/>
    <s v="Medium"/>
    <s v="Low Usage"/>
  </r>
  <r>
    <s v="FARM0014"/>
    <x v="0"/>
    <x v="1"/>
    <n v="12.8"/>
    <n v="5.87"/>
    <n v="26.9"/>
    <n v="218.8"/>
    <n v="51.76"/>
    <n v="4.72"/>
    <s v="Sprinkler"/>
    <x v="2"/>
    <n v="31.75"/>
    <d v="2024-03-03T00:00:00"/>
    <d v="2024-06-27T00:00:00"/>
    <x v="1"/>
    <n v="116"/>
    <n v="4629.49"/>
    <s v="SENS0014"/>
    <d v="2024-05-14T00:00:00"/>
    <n v="23.069568"/>
    <n v="88.694125"/>
    <n v="0.42"/>
    <x v="3"/>
    <n v="116"/>
    <s v="Medium"/>
    <s v="Medium Usage"/>
  </r>
  <r>
    <s v="FARM0015"/>
    <x v="4"/>
    <x v="2"/>
    <n v="23.85"/>
    <n v="6.84"/>
    <n v="21"/>
    <n v="129.04"/>
    <n v="77.59"/>
    <n v="4.4400000000000004"/>
    <s v="None"/>
    <x v="2"/>
    <n v="49.93"/>
    <d v="2024-01-03T00:00:00"/>
    <d v="2024-05-06T00:00:00"/>
    <x v="0"/>
    <n v="124"/>
    <n v="2852.62"/>
    <s v="SENS0015"/>
    <d v="2024-02-05T00:00:00"/>
    <n v="13.311413999999999"/>
    <n v="76.980176999999998"/>
    <n v="0.34"/>
    <x v="0"/>
    <n v="124"/>
    <s v="Low"/>
    <s v="High Usage"/>
  </r>
  <r>
    <s v="FARM0016"/>
    <x v="2"/>
    <x v="2"/>
    <n v="15.52"/>
    <n v="7.17"/>
    <n v="29.07"/>
    <n v="202.92"/>
    <n v="89.36"/>
    <n v="7.92"/>
    <s v="Drip"/>
    <x v="2"/>
    <n v="41.77"/>
    <d v="2024-02-22T00:00:00"/>
    <d v="2024-05-28T00:00:00"/>
    <x v="0"/>
    <n v="96"/>
    <n v="5755.72"/>
    <s v="SENS0016"/>
    <d v="2024-03-10T00:00:00"/>
    <n v="16.611647999999999"/>
    <n v="87.794253999999995"/>
    <n v="0.75"/>
    <x v="0"/>
    <n v="96"/>
    <s v="High"/>
    <s v="High Usage"/>
  </r>
  <r>
    <s v="FARM0017"/>
    <x v="2"/>
    <x v="2"/>
    <n v="31.17"/>
    <n v="6.94"/>
    <n v="19.07"/>
    <n v="208.56"/>
    <n v="53.2"/>
    <n v="6.93"/>
    <s v="Drip"/>
    <x v="0"/>
    <n v="33.54"/>
    <d v="2024-02-02T00:00:00"/>
    <d v="2024-05-02T00:00:00"/>
    <x v="0"/>
    <n v="90"/>
    <n v="3334.23"/>
    <s v="SENS0017"/>
    <d v="2024-02-18T00:00:00"/>
    <n v="25.927834000000001"/>
    <n v="75.239104999999995"/>
    <n v="0.74"/>
    <x v="2"/>
    <n v="90"/>
    <s v="Medium"/>
    <s v="Medium Usage"/>
  </r>
  <r>
    <s v="FARM0018"/>
    <x v="3"/>
    <x v="0"/>
    <n v="13.92"/>
    <n v="7.39"/>
    <n v="28.82"/>
    <n v="87.26"/>
    <n v="41.8"/>
    <n v="6.22"/>
    <s v="Sprinkler"/>
    <x v="1"/>
    <n v="10.74"/>
    <d v="2024-02-12T00:00:00"/>
    <d v="2024-07-08T00:00:00"/>
    <x v="2"/>
    <n v="147"/>
    <n v="5732.35"/>
    <s v="SENS0018"/>
    <d v="2024-02-22T00:00:00"/>
    <n v="32.473115999999997"/>
    <n v="74.201531000000003"/>
    <n v="0.45"/>
    <x v="1"/>
    <n v="147"/>
    <s v="High"/>
    <s v="Low Usage"/>
  </r>
  <r>
    <s v="FARM0019"/>
    <x v="2"/>
    <x v="1"/>
    <n v="40.94"/>
    <n v="6.31"/>
    <n v="27.41"/>
    <n v="88.64"/>
    <n v="86.49"/>
    <n v="9.19"/>
    <s v="Sprinkler"/>
    <x v="1"/>
    <n v="6.12"/>
    <d v="2024-03-11T00:00:00"/>
    <d v="2024-07-29T00:00:00"/>
    <x v="2"/>
    <n v="140"/>
    <n v="5723.26"/>
    <s v="SENS0019"/>
    <d v="2024-05-13T00:00:00"/>
    <n v="16.670142999999999"/>
    <n v="85.747489999999999"/>
    <n v="0.36"/>
    <x v="1"/>
    <n v="140"/>
    <s v="High"/>
    <s v="Low Usage"/>
  </r>
  <r>
    <s v="FARM0020"/>
    <x v="1"/>
    <x v="4"/>
    <n v="16.989999999999998"/>
    <n v="7.34"/>
    <n v="21.99"/>
    <n v="255.13"/>
    <n v="83.57"/>
    <n v="5.34"/>
    <s v="Sprinkler"/>
    <x v="1"/>
    <n v="19.77"/>
    <d v="2024-01-25T00:00:00"/>
    <d v="2024-05-11T00:00:00"/>
    <x v="0"/>
    <n v="107"/>
    <n v="3404.58"/>
    <s v="SENS0020"/>
    <d v="2024-03-30T00:00:00"/>
    <n v="19.991959999999999"/>
    <n v="89.622994000000006"/>
    <n v="0.62"/>
    <x v="1"/>
    <n v="107"/>
    <s v="Medium"/>
    <s v="Medium Usage"/>
  </r>
  <r>
    <s v="FARM0021"/>
    <x v="0"/>
    <x v="2"/>
    <n v="16.25"/>
    <n v="7.43"/>
    <n v="20.309999999999999"/>
    <n v="77.099999999999994"/>
    <n v="61.73"/>
    <n v="8.3699999999999992"/>
    <s v="Manual"/>
    <x v="1"/>
    <n v="32.28"/>
    <d v="2024-03-04T00:00:00"/>
    <d v="2024-06-26T00:00:00"/>
    <x v="1"/>
    <n v="114"/>
    <n v="5598.02"/>
    <s v="SENS0021"/>
    <d v="2024-03-28T00:00:00"/>
    <n v="16.368062999999999"/>
    <n v="84.175706000000005"/>
    <n v="0.3"/>
    <x v="0"/>
    <n v="114"/>
    <s v="High"/>
    <s v="Medium Usage"/>
  </r>
  <r>
    <s v="FARM0022"/>
    <x v="2"/>
    <x v="3"/>
    <n v="12.45"/>
    <n v="6.83"/>
    <n v="21.6"/>
    <n v="128.47999999999999"/>
    <n v="82.4"/>
    <n v="8.32"/>
    <s v="Manual"/>
    <x v="2"/>
    <n v="18.920000000000002"/>
    <d v="2024-02-11T00:00:00"/>
    <d v="2024-06-05T00:00:00"/>
    <x v="1"/>
    <n v="115"/>
    <n v="4788.83"/>
    <s v="SENS0022"/>
    <d v="2024-04-21T00:00:00"/>
    <n v="13.182195"/>
    <n v="78.408927000000006"/>
    <n v="0.86"/>
    <x v="0"/>
    <n v="115"/>
    <s v="Medium"/>
    <s v="Medium Usage"/>
  </r>
  <r>
    <s v="FARM0023"/>
    <x v="3"/>
    <x v="1"/>
    <n v="20.53"/>
    <n v="6.6"/>
    <n v="15.01"/>
    <n v="121.73"/>
    <n v="61.49"/>
    <n v="7.48"/>
    <s v="Manual"/>
    <x v="1"/>
    <n v="24.88"/>
    <d v="2024-03-07T00:00:00"/>
    <d v="2024-07-07T00:00:00"/>
    <x v="2"/>
    <n v="122"/>
    <n v="3892.74"/>
    <s v="SENS0023"/>
    <d v="2024-06-30T00:00:00"/>
    <n v="33.995800000000003"/>
    <n v="84.719228999999999"/>
    <n v="0.7"/>
    <x v="3"/>
    <n v="122"/>
    <s v="Medium"/>
    <s v="Medium Usage"/>
  </r>
  <r>
    <s v="FARM0024"/>
    <x v="3"/>
    <x v="1"/>
    <n v="21.73"/>
    <n v="7.14"/>
    <n v="30.02"/>
    <n v="218.2"/>
    <n v="51.23"/>
    <n v="5.19"/>
    <s v="Drip"/>
    <x v="0"/>
    <n v="16.02"/>
    <d v="2024-02-20T00:00:00"/>
    <d v="2024-07-13T00:00:00"/>
    <x v="2"/>
    <n v="144"/>
    <n v="5073.96"/>
    <s v="SENS0024"/>
    <d v="2024-06-15T00:00:00"/>
    <n v="20.361025000000001"/>
    <n v="82.595308000000003"/>
    <n v="0.42"/>
    <x v="2"/>
    <n v="144"/>
    <s v="High"/>
    <s v="Medium Usage"/>
  </r>
  <r>
    <s v="FARM0025"/>
    <x v="1"/>
    <x v="3"/>
    <n v="18.54"/>
    <n v="6.81"/>
    <n v="15.11"/>
    <n v="237.74"/>
    <n v="78.5"/>
    <n v="4.6399999999999997"/>
    <s v="None"/>
    <x v="0"/>
    <n v="12.91"/>
    <d v="2024-03-17T00:00:00"/>
    <d v="2024-07-14T00:00:00"/>
    <x v="2"/>
    <n v="119"/>
    <n v="2200.87"/>
    <s v="SENS0025"/>
    <d v="2024-04-17T00:00:00"/>
    <n v="32.936750000000004"/>
    <n v="72.427171999999999"/>
    <n v="0.38"/>
    <x v="2"/>
    <n v="119"/>
    <s v="Low"/>
    <s v="Low Usage"/>
  </r>
  <r>
    <s v="FARM0026"/>
    <x v="3"/>
    <x v="1"/>
    <n v="30.84"/>
    <n v="7.4"/>
    <n v="32.83"/>
    <n v="203.16"/>
    <n v="75.959999999999994"/>
    <n v="7.03"/>
    <s v="None"/>
    <x v="0"/>
    <n v="38.46"/>
    <d v="2024-02-15T00:00:00"/>
    <d v="2024-05-31T00:00:00"/>
    <x v="0"/>
    <n v="106"/>
    <n v="5007.1099999999997"/>
    <s v="SENS0026"/>
    <d v="2024-05-06T00:00:00"/>
    <n v="16.932784000000002"/>
    <n v="85.553496999999993"/>
    <n v="0.59"/>
    <x v="0"/>
    <n v="106"/>
    <s v="Medium"/>
    <s v="High Usage"/>
  </r>
  <r>
    <s v="FARM0027"/>
    <x v="2"/>
    <x v="3"/>
    <n v="12.71"/>
    <n v="6.07"/>
    <n v="20.43"/>
    <n v="129.93"/>
    <n v="67.010000000000005"/>
    <n v="4.83"/>
    <s v="Sprinkler"/>
    <x v="1"/>
    <n v="36.229999999999997"/>
    <d v="2024-03-07T00:00:00"/>
    <d v="2024-06-09T00:00:00"/>
    <x v="1"/>
    <n v="94"/>
    <n v="3659.47"/>
    <s v="SENS0027"/>
    <d v="2024-04-18T00:00:00"/>
    <n v="23.565279"/>
    <n v="78.315484999999995"/>
    <n v="0.42"/>
    <x v="2"/>
    <n v="94"/>
    <s v="Medium"/>
    <s v="Medium Usage"/>
  </r>
  <r>
    <s v="FARM0028"/>
    <x v="1"/>
    <x v="1"/>
    <n v="43.11"/>
    <n v="5.54"/>
    <n v="32.61"/>
    <n v="193.92"/>
    <n v="63.85"/>
    <n v="9.66"/>
    <s v="Manual"/>
    <x v="1"/>
    <n v="43.41"/>
    <d v="2024-02-18T00:00:00"/>
    <d v="2024-07-04T00:00:00"/>
    <x v="2"/>
    <n v="137"/>
    <n v="4938.54"/>
    <s v="SENS0028"/>
    <d v="2024-04-14T00:00:00"/>
    <n v="22.205736999999999"/>
    <n v="75.458706000000006"/>
    <n v="0.59"/>
    <x v="2"/>
    <n v="137"/>
    <s v="Medium"/>
    <s v="High Usage"/>
  </r>
  <r>
    <s v="FARM0029"/>
    <x v="2"/>
    <x v="3"/>
    <n v="35.35"/>
    <n v="7.18"/>
    <n v="33.39"/>
    <n v="295.18"/>
    <n v="66.709999999999994"/>
    <n v="9.44"/>
    <s v="Drip"/>
    <x v="0"/>
    <n v="33.92"/>
    <d v="2024-01-28T00:00:00"/>
    <d v="2024-05-26T00:00:00"/>
    <x v="0"/>
    <n v="119"/>
    <n v="2726.92"/>
    <s v="SENS0029"/>
    <d v="2024-03-01T00:00:00"/>
    <n v="19.477596999999999"/>
    <n v="74.233205999999996"/>
    <n v="0.5"/>
    <x v="2"/>
    <n v="119"/>
    <s v="Low"/>
    <s v="Medium Usage"/>
  </r>
  <r>
    <s v="FARM0030"/>
    <x v="2"/>
    <x v="3"/>
    <n v="18.829999999999998"/>
    <n v="5.66"/>
    <n v="15.39"/>
    <n v="184.85"/>
    <n v="90"/>
    <n v="6.1"/>
    <s v="Drip"/>
    <x v="2"/>
    <n v="6.81"/>
    <d v="2024-01-08T00:00:00"/>
    <d v="2024-04-19T00:00:00"/>
    <x v="3"/>
    <n v="102"/>
    <n v="5356.92"/>
    <s v="SENS0030"/>
    <d v="2024-03-27T00:00:00"/>
    <n v="13.809559"/>
    <n v="72.524418999999995"/>
    <n v="0.7"/>
    <x v="0"/>
    <n v="102"/>
    <s v="High"/>
    <s v="Low Usage"/>
  </r>
  <r>
    <s v="FARM0031"/>
    <x v="1"/>
    <x v="2"/>
    <n v="36.840000000000003"/>
    <n v="5.84"/>
    <n v="27.14"/>
    <n v="236.98"/>
    <n v="45.73"/>
    <n v="8.92"/>
    <s v="Manual"/>
    <x v="0"/>
    <n v="31.04"/>
    <d v="2024-02-19T00:00:00"/>
    <d v="2024-07-01T00:00:00"/>
    <x v="2"/>
    <n v="133"/>
    <n v="5632.1"/>
    <s v="SENS0031"/>
    <d v="2024-05-25T00:00:00"/>
    <n v="19.916360999999998"/>
    <n v="84.300293999999994"/>
    <n v="0.35"/>
    <x v="0"/>
    <n v="133"/>
    <s v="High"/>
    <s v="Medium Usage"/>
  </r>
  <r>
    <s v="FARM0032"/>
    <x v="0"/>
    <x v="2"/>
    <n v="39.76"/>
    <n v="6.7"/>
    <n v="17.420000000000002"/>
    <n v="295.95999999999998"/>
    <n v="79.13"/>
    <n v="6.08"/>
    <s v="None"/>
    <x v="2"/>
    <n v="21.68"/>
    <d v="2024-03-21T00:00:00"/>
    <d v="2024-07-10T00:00:00"/>
    <x v="2"/>
    <n v="111"/>
    <n v="2050.61"/>
    <s v="SENS0032"/>
    <d v="2024-05-13T00:00:00"/>
    <n v="30.558273"/>
    <n v="72.110776999999999"/>
    <n v="0.88"/>
    <x v="2"/>
    <n v="111"/>
    <s v="Low"/>
    <s v="Medium Usage"/>
  </r>
  <r>
    <s v="FARM0033"/>
    <x v="4"/>
    <x v="3"/>
    <n v="16.16"/>
    <n v="6.54"/>
    <n v="28.01"/>
    <n v="203.98"/>
    <n v="85.98"/>
    <n v="8.65"/>
    <s v="None"/>
    <x v="1"/>
    <n v="42.16"/>
    <d v="2024-03-09T00:00:00"/>
    <d v="2024-06-27T00:00:00"/>
    <x v="1"/>
    <n v="110"/>
    <n v="5406.85"/>
    <s v="SENS0033"/>
    <d v="2024-06-23T00:00:00"/>
    <n v="33.365546999999999"/>
    <n v="75.578564999999998"/>
    <n v="0.56999999999999995"/>
    <x v="2"/>
    <n v="110"/>
    <s v="High"/>
    <s v="High Usage"/>
  </r>
  <r>
    <s v="FARM0034"/>
    <x v="3"/>
    <x v="1"/>
    <n v="33.39"/>
    <n v="6.17"/>
    <n v="24.89"/>
    <n v="131.25"/>
    <n v="64.38"/>
    <n v="6.13"/>
    <s v="Manual"/>
    <x v="1"/>
    <n v="17.579999999999998"/>
    <d v="2024-03-23T00:00:00"/>
    <d v="2024-08-16T00:00:00"/>
    <x v="4"/>
    <n v="146"/>
    <n v="3105.07"/>
    <s v="SENS0034"/>
    <d v="2024-03-25T00:00:00"/>
    <n v="22.915680999999999"/>
    <n v="73.821128000000002"/>
    <n v="0.44"/>
    <x v="2"/>
    <n v="146"/>
    <s v="Medium"/>
    <s v="Medium Usage"/>
  </r>
  <r>
    <s v="FARM0035"/>
    <x v="1"/>
    <x v="1"/>
    <n v="36.54"/>
    <n v="6.88"/>
    <n v="27.92"/>
    <n v="172.71"/>
    <n v="79.650000000000006"/>
    <n v="4.5599999999999996"/>
    <s v="Sprinkler"/>
    <x v="1"/>
    <n v="36.130000000000003"/>
    <d v="2024-02-22T00:00:00"/>
    <d v="2024-06-28T00:00:00"/>
    <x v="1"/>
    <n v="127"/>
    <n v="3476.08"/>
    <s v="SENS0035"/>
    <d v="2024-05-20T00:00:00"/>
    <n v="20.637595000000001"/>
    <n v="84.918709000000007"/>
    <n v="0.5"/>
    <x v="2"/>
    <n v="127"/>
    <s v="Medium"/>
    <s v="Medium Usage"/>
  </r>
  <r>
    <s v="FARM0036"/>
    <x v="2"/>
    <x v="2"/>
    <n v="18.8"/>
    <n v="5.74"/>
    <n v="18.850000000000001"/>
    <n v="79.89"/>
    <n v="66.790000000000006"/>
    <n v="8.57"/>
    <s v="Sprinkler"/>
    <x v="0"/>
    <n v="14.74"/>
    <d v="2024-02-09T00:00:00"/>
    <d v="2024-06-24T00:00:00"/>
    <x v="1"/>
    <n v="136"/>
    <n v="4358.3500000000004"/>
    <s v="SENS0036"/>
    <d v="2024-06-22T00:00:00"/>
    <n v="24.919768999999999"/>
    <n v="89.610213000000002"/>
    <n v="0.8"/>
    <x v="3"/>
    <n v="136"/>
    <s v="Medium"/>
    <s v="Low Usage"/>
  </r>
  <r>
    <s v="FARM0037"/>
    <x v="4"/>
    <x v="2"/>
    <n v="16.28"/>
    <n v="5.53"/>
    <n v="25.68"/>
    <n v="118.58"/>
    <n v="88.71"/>
    <n v="7.32"/>
    <s v="Sprinkler"/>
    <x v="2"/>
    <n v="44.08"/>
    <d v="2024-02-04T00:00:00"/>
    <d v="2024-06-28T00:00:00"/>
    <x v="1"/>
    <n v="145"/>
    <n v="2049.06"/>
    <s v="SENS0037"/>
    <d v="2024-04-16T00:00:00"/>
    <n v="21.734923999999999"/>
    <n v="78.809376"/>
    <n v="0.41"/>
    <x v="1"/>
    <n v="145"/>
    <s v="Low"/>
    <s v="High Usage"/>
  </r>
  <r>
    <s v="FARM0038"/>
    <x v="2"/>
    <x v="3"/>
    <n v="13.99"/>
    <n v="5.63"/>
    <n v="24.83"/>
    <n v="194.26"/>
    <n v="74.319999999999993"/>
    <n v="4.91"/>
    <s v="Manual"/>
    <x v="0"/>
    <n v="49.73"/>
    <d v="2024-01-18T00:00:00"/>
    <d v="2024-06-04T00:00:00"/>
    <x v="1"/>
    <n v="138"/>
    <n v="3664.7"/>
    <s v="SENS0038"/>
    <d v="2024-03-15T00:00:00"/>
    <n v="29.392337999999999"/>
    <n v="77.607561000000004"/>
    <n v="0.85"/>
    <x v="3"/>
    <n v="138"/>
    <s v="Medium"/>
    <s v="High Usage"/>
  </r>
  <r>
    <s v="FARM0039"/>
    <x v="3"/>
    <x v="3"/>
    <n v="20.69"/>
    <n v="6.74"/>
    <n v="27.19"/>
    <n v="235.02"/>
    <n v="87.38"/>
    <n v="5.25"/>
    <s v="Sprinkler"/>
    <x v="1"/>
    <n v="34.72"/>
    <d v="2024-01-08T00:00:00"/>
    <d v="2024-04-18T00:00:00"/>
    <x v="3"/>
    <n v="101"/>
    <n v="4207.97"/>
    <s v="SENS0039"/>
    <d v="2024-01-28T00:00:00"/>
    <n v="10.066893"/>
    <n v="79.010074000000003"/>
    <n v="0.66"/>
    <x v="3"/>
    <n v="101"/>
    <s v="Medium"/>
    <s v="Medium Usage"/>
  </r>
  <r>
    <s v="FARM0040"/>
    <x v="0"/>
    <x v="4"/>
    <n v="20.079999999999998"/>
    <n v="6.07"/>
    <n v="32.19"/>
    <n v="67.790000000000006"/>
    <n v="51.67"/>
    <n v="5.59"/>
    <s v="Sprinkler"/>
    <x v="1"/>
    <n v="10.16"/>
    <d v="2024-01-21T00:00:00"/>
    <d v="2024-04-29T00:00:00"/>
    <x v="3"/>
    <n v="99"/>
    <n v="5633.65"/>
    <s v="SENS0040"/>
    <d v="2024-02-08T00:00:00"/>
    <n v="11.785246000000001"/>
    <n v="73.318455999999998"/>
    <n v="0.48"/>
    <x v="3"/>
    <n v="99"/>
    <s v="High"/>
    <s v="Low Usage"/>
  </r>
  <r>
    <s v="FARM0041"/>
    <x v="1"/>
    <x v="0"/>
    <n v="26.4"/>
    <n v="6.11"/>
    <n v="23.05"/>
    <n v="118.06"/>
    <n v="67"/>
    <n v="6.63"/>
    <s v="Drip"/>
    <x v="1"/>
    <n v="38.049999999999997"/>
    <d v="2024-03-09T00:00:00"/>
    <d v="2024-06-08T00:00:00"/>
    <x v="1"/>
    <n v="91"/>
    <n v="2365.31"/>
    <s v="SENS0041"/>
    <d v="2024-06-03T00:00:00"/>
    <n v="30.898965"/>
    <n v="81.503981999999993"/>
    <n v="0.87"/>
    <x v="3"/>
    <n v="91"/>
    <s v="Low"/>
    <s v="High Usage"/>
  </r>
  <r>
    <s v="FARM0042"/>
    <x v="3"/>
    <x v="0"/>
    <n v="36.71"/>
    <n v="5.85"/>
    <n v="25.38"/>
    <n v="160.56"/>
    <n v="53.91"/>
    <n v="9.98"/>
    <s v="None"/>
    <x v="2"/>
    <n v="41.64"/>
    <d v="2024-01-16T00:00:00"/>
    <d v="2024-05-07T00:00:00"/>
    <x v="0"/>
    <n v="112"/>
    <n v="3633.39"/>
    <s v="SENS0042"/>
    <d v="2024-02-26T00:00:00"/>
    <n v="26.753337999999999"/>
    <n v="87.154662000000002"/>
    <n v="0.5"/>
    <x v="2"/>
    <n v="112"/>
    <s v="Medium"/>
    <s v="High Usage"/>
  </r>
  <r>
    <s v="FARM0043"/>
    <x v="2"/>
    <x v="3"/>
    <n v="38.47"/>
    <n v="6.6"/>
    <n v="24.1"/>
    <n v="128.63"/>
    <n v="56.16"/>
    <n v="9.82"/>
    <s v="None"/>
    <x v="2"/>
    <n v="42.12"/>
    <d v="2024-01-22T00:00:00"/>
    <d v="2024-06-15T00:00:00"/>
    <x v="1"/>
    <n v="145"/>
    <n v="4170.37"/>
    <s v="SENS0043"/>
    <d v="2024-05-06T00:00:00"/>
    <n v="11.355102"/>
    <n v="80.368787999999995"/>
    <n v="0.67"/>
    <x v="2"/>
    <n v="145"/>
    <s v="Medium"/>
    <s v="High Usage"/>
  </r>
  <r>
    <s v="FARM0044"/>
    <x v="1"/>
    <x v="0"/>
    <n v="17.12"/>
    <n v="6.6"/>
    <n v="33.549999999999997"/>
    <n v="159.53"/>
    <n v="74.91"/>
    <n v="4.7300000000000004"/>
    <s v="Sprinkler"/>
    <x v="2"/>
    <n v="12.13"/>
    <d v="2024-03-01T00:00:00"/>
    <d v="2024-07-04T00:00:00"/>
    <x v="2"/>
    <n v="125"/>
    <n v="3631.96"/>
    <s v="SENS0044"/>
    <d v="2024-03-29T00:00:00"/>
    <n v="34.806427999999997"/>
    <n v="88.258598000000006"/>
    <n v="0.57999999999999996"/>
    <x v="1"/>
    <n v="125"/>
    <s v="Medium"/>
    <s v="Low Usage"/>
  </r>
  <r>
    <s v="FARM0045"/>
    <x v="4"/>
    <x v="3"/>
    <n v="42.64"/>
    <n v="6.08"/>
    <n v="29.11"/>
    <n v="153.87"/>
    <n v="64.12"/>
    <n v="6.83"/>
    <s v="None"/>
    <x v="2"/>
    <n v="11.51"/>
    <d v="2024-01-20T00:00:00"/>
    <d v="2024-05-21T00:00:00"/>
    <x v="0"/>
    <n v="122"/>
    <n v="4985.17"/>
    <s v="SENS0045"/>
    <d v="2024-02-06T00:00:00"/>
    <n v="31.600673"/>
    <n v="75.524947999999995"/>
    <n v="0.77"/>
    <x v="2"/>
    <n v="122"/>
    <s v="Medium"/>
    <s v="Low Usage"/>
  </r>
  <r>
    <s v="FARM0046"/>
    <x v="2"/>
    <x v="1"/>
    <n v="19.350000000000001"/>
    <n v="5.51"/>
    <n v="29.52"/>
    <n v="259.37"/>
    <n v="69"/>
    <n v="7.96"/>
    <s v="Sprinkler"/>
    <x v="1"/>
    <n v="29.24"/>
    <d v="2024-02-11T00:00:00"/>
    <d v="2024-06-15T00:00:00"/>
    <x v="1"/>
    <n v="125"/>
    <n v="5051.49"/>
    <s v="SENS0046"/>
    <d v="2024-03-30T00:00:00"/>
    <n v="21.383614999999999"/>
    <n v="76.435547"/>
    <n v="0.41"/>
    <x v="0"/>
    <n v="125"/>
    <s v="Medium"/>
    <s v="Medium Usage"/>
  </r>
  <r>
    <s v="FARM0047"/>
    <x v="3"/>
    <x v="3"/>
    <n v="18.170000000000002"/>
    <n v="7.05"/>
    <n v="15.87"/>
    <n v="236.18"/>
    <n v="75.260000000000005"/>
    <n v="8.8699999999999992"/>
    <s v="None"/>
    <x v="2"/>
    <n v="40.659999999999997"/>
    <d v="2024-03-05T00:00:00"/>
    <d v="2024-07-04T00:00:00"/>
    <x v="2"/>
    <n v="121"/>
    <n v="5859.3"/>
    <s v="SENS0047"/>
    <d v="2024-03-21T00:00:00"/>
    <n v="22.557279000000001"/>
    <n v="81.803608999999994"/>
    <n v="0.82"/>
    <x v="2"/>
    <n v="121"/>
    <s v="High"/>
    <s v="High Usage"/>
  </r>
  <r>
    <s v="FARM0048"/>
    <x v="0"/>
    <x v="1"/>
    <n v="41.87"/>
    <n v="5.53"/>
    <n v="17.88"/>
    <n v="267.73"/>
    <n v="88.5"/>
    <n v="4.45"/>
    <s v="Manual"/>
    <x v="1"/>
    <n v="33.049999999999997"/>
    <d v="2024-02-21T00:00:00"/>
    <d v="2024-05-26T00:00:00"/>
    <x v="0"/>
    <n v="95"/>
    <n v="5407.06"/>
    <s v="SENS0048"/>
    <d v="2024-05-17T00:00:00"/>
    <n v="31.483554999999999"/>
    <n v="77.600188000000003"/>
    <n v="0.49"/>
    <x v="2"/>
    <n v="95"/>
    <s v="High"/>
    <s v="Medium Usage"/>
  </r>
  <r>
    <s v="FARM0049"/>
    <x v="3"/>
    <x v="0"/>
    <n v="31.61"/>
    <n v="5.97"/>
    <n v="28.69"/>
    <n v="121.84"/>
    <n v="51.37"/>
    <n v="4.54"/>
    <s v="Drip"/>
    <x v="2"/>
    <n v="36.68"/>
    <d v="2024-01-15T00:00:00"/>
    <d v="2024-04-24T00:00:00"/>
    <x v="3"/>
    <n v="100"/>
    <n v="4776"/>
    <s v="SENS0049"/>
    <d v="2024-01-18T00:00:00"/>
    <n v="11.149774000000001"/>
    <n v="85.922869000000006"/>
    <n v="0.48"/>
    <x v="3"/>
    <n v="100"/>
    <s v="Medium"/>
    <s v="Medium Usage"/>
  </r>
  <r>
    <s v="FARM0050"/>
    <x v="1"/>
    <x v="4"/>
    <n v="18.55"/>
    <n v="6.32"/>
    <n v="28.64"/>
    <n v="95.01"/>
    <n v="48.75"/>
    <n v="7.66"/>
    <s v="None"/>
    <x v="2"/>
    <n v="35.74"/>
    <d v="2024-02-19T00:00:00"/>
    <d v="2024-05-28T00:00:00"/>
    <x v="0"/>
    <n v="99"/>
    <n v="2928.75"/>
    <s v="SENS0050"/>
    <d v="2024-05-10T00:00:00"/>
    <n v="16.349433000000001"/>
    <n v="75.106533999999996"/>
    <n v="0.31"/>
    <x v="2"/>
    <n v="99"/>
    <s v="Low"/>
    <s v="Medium Usage"/>
  </r>
  <r>
    <s v="FARM0051"/>
    <x v="2"/>
    <x v="1"/>
    <n v="15.53"/>
    <n v="6.38"/>
    <n v="21.91"/>
    <n v="196.89"/>
    <n v="71.95"/>
    <n v="6.55"/>
    <s v="Manual"/>
    <x v="1"/>
    <n v="43.04"/>
    <d v="2024-01-13T00:00:00"/>
    <d v="2024-06-05T00:00:00"/>
    <x v="1"/>
    <n v="144"/>
    <n v="3932.83"/>
    <s v="SENS0051"/>
    <d v="2024-03-13T00:00:00"/>
    <n v="19.534106999999999"/>
    <n v="77.179182999999995"/>
    <n v="0.48"/>
    <x v="3"/>
    <n v="144"/>
    <s v="Medium"/>
    <s v="High Usage"/>
  </r>
  <r>
    <s v="FARM0052"/>
    <x v="0"/>
    <x v="3"/>
    <n v="19.61"/>
    <n v="6.63"/>
    <n v="28.72"/>
    <n v="236.17"/>
    <n v="42.45"/>
    <n v="7.64"/>
    <s v="None"/>
    <x v="1"/>
    <n v="39.909999999999997"/>
    <d v="2024-01-20T00:00:00"/>
    <d v="2024-06-09T00:00:00"/>
    <x v="1"/>
    <n v="141"/>
    <n v="3409.28"/>
    <s v="SENS0052"/>
    <d v="2024-03-08T00:00:00"/>
    <n v="25.522279000000001"/>
    <n v="83.555289000000002"/>
    <n v="0.73"/>
    <x v="0"/>
    <n v="141"/>
    <s v="Medium"/>
    <s v="High Usage"/>
  </r>
  <r>
    <s v="FARM0053"/>
    <x v="0"/>
    <x v="0"/>
    <n v="20.81"/>
    <n v="6.38"/>
    <n v="26.59"/>
    <n v="233.09"/>
    <n v="44.51"/>
    <n v="5.77"/>
    <s v="None"/>
    <x v="0"/>
    <n v="14.04"/>
    <d v="2024-03-12T00:00:00"/>
    <d v="2024-07-13T00:00:00"/>
    <x v="2"/>
    <n v="123"/>
    <n v="4007.18"/>
    <s v="SENS0053"/>
    <d v="2024-04-15T00:00:00"/>
    <n v="30.761814999999999"/>
    <n v="75.139402000000004"/>
    <n v="0.79"/>
    <x v="2"/>
    <n v="123"/>
    <s v="Medium"/>
    <s v="Low Usage"/>
  </r>
  <r>
    <s v="FARM0054"/>
    <x v="2"/>
    <x v="2"/>
    <n v="38.15"/>
    <n v="6.44"/>
    <n v="16.510000000000002"/>
    <n v="238.54"/>
    <n v="51.28"/>
    <n v="8.06"/>
    <s v="None"/>
    <x v="2"/>
    <n v="21.46"/>
    <d v="2024-02-01T00:00:00"/>
    <d v="2024-05-17T00:00:00"/>
    <x v="0"/>
    <n v="106"/>
    <n v="4146.29"/>
    <s v="SENS0054"/>
    <d v="2024-03-30T00:00:00"/>
    <n v="19.214641"/>
    <n v="84.980232000000001"/>
    <n v="0.46"/>
    <x v="2"/>
    <n v="106"/>
    <s v="Medium"/>
    <s v="Medium Usage"/>
  </r>
  <r>
    <s v="FARM0055"/>
    <x v="2"/>
    <x v="0"/>
    <n v="33.619999999999997"/>
    <n v="6.44"/>
    <n v="27.39"/>
    <n v="285.79000000000002"/>
    <n v="56.4"/>
    <n v="7.66"/>
    <s v="Drip"/>
    <x v="2"/>
    <n v="42.07"/>
    <d v="2024-03-10T00:00:00"/>
    <d v="2024-07-19T00:00:00"/>
    <x v="2"/>
    <n v="131"/>
    <n v="3633.18"/>
    <s v="SENS0055"/>
    <d v="2024-04-14T00:00:00"/>
    <n v="11.13367"/>
    <n v="70.744242999999997"/>
    <n v="0.9"/>
    <x v="1"/>
    <n v="131"/>
    <s v="Medium"/>
    <s v="High Usage"/>
  </r>
  <r>
    <s v="FARM0056"/>
    <x v="0"/>
    <x v="4"/>
    <n v="41.05"/>
    <n v="5.77"/>
    <n v="24.07"/>
    <n v="217.62"/>
    <n v="77.16"/>
    <n v="9.68"/>
    <s v="None"/>
    <x v="2"/>
    <n v="38.4"/>
    <d v="2024-01-14T00:00:00"/>
    <d v="2024-05-24T00:00:00"/>
    <x v="0"/>
    <n v="131"/>
    <n v="2396.09"/>
    <s v="SENS0056"/>
    <d v="2024-05-18T00:00:00"/>
    <n v="25.391304999999999"/>
    <n v="88.781060999999994"/>
    <n v="0.47"/>
    <x v="3"/>
    <n v="131"/>
    <s v="Low"/>
    <s v="High Usage"/>
  </r>
  <r>
    <s v="FARM0057"/>
    <x v="4"/>
    <x v="3"/>
    <n v="25.56"/>
    <n v="5.97"/>
    <n v="22.25"/>
    <n v="295.23"/>
    <n v="58.37"/>
    <n v="9.41"/>
    <s v="Manual"/>
    <x v="0"/>
    <n v="22.92"/>
    <d v="2024-01-04T00:00:00"/>
    <d v="2024-06-02T00:00:00"/>
    <x v="1"/>
    <n v="150"/>
    <n v="5392.13"/>
    <s v="SENS0057"/>
    <d v="2024-04-29T00:00:00"/>
    <n v="12.291836"/>
    <n v="74.242115999999996"/>
    <n v="0.68"/>
    <x v="1"/>
    <n v="150"/>
    <s v="High"/>
    <s v="Medium Usage"/>
  </r>
  <r>
    <s v="FARM0058"/>
    <x v="0"/>
    <x v="2"/>
    <n v="18.52"/>
    <n v="5.75"/>
    <n v="26.29"/>
    <n v="67.150000000000006"/>
    <n v="78.260000000000005"/>
    <n v="5.24"/>
    <s v="Sprinkler"/>
    <x v="0"/>
    <n v="19.79"/>
    <d v="2024-01-26T00:00:00"/>
    <d v="2024-06-21T00:00:00"/>
    <x v="1"/>
    <n v="147"/>
    <n v="4383.93"/>
    <s v="SENS0058"/>
    <d v="2024-04-05T00:00:00"/>
    <n v="31.460152999999998"/>
    <n v="72.89376"/>
    <n v="0.38"/>
    <x v="3"/>
    <n v="147"/>
    <s v="Medium"/>
    <s v="Medium Usage"/>
  </r>
  <r>
    <s v="FARM0059"/>
    <x v="4"/>
    <x v="0"/>
    <n v="33.14"/>
    <n v="5.55"/>
    <n v="15.3"/>
    <n v="247.5"/>
    <n v="51.9"/>
    <n v="5.94"/>
    <s v="Sprinkler"/>
    <x v="1"/>
    <n v="7.36"/>
    <d v="2024-03-14T00:00:00"/>
    <d v="2024-07-15T00:00:00"/>
    <x v="2"/>
    <n v="123"/>
    <n v="2454.6"/>
    <s v="SENS0059"/>
    <d v="2024-03-22T00:00:00"/>
    <n v="21.906148999999999"/>
    <n v="85.560340999999994"/>
    <n v="0.61"/>
    <x v="1"/>
    <n v="123"/>
    <s v="Low"/>
    <s v="Low Usage"/>
  </r>
  <r>
    <s v="FARM0060"/>
    <x v="1"/>
    <x v="1"/>
    <n v="17.75"/>
    <n v="6.73"/>
    <n v="29.54"/>
    <n v="277.19"/>
    <n v="72.95"/>
    <n v="5.81"/>
    <s v="Drip"/>
    <x v="0"/>
    <n v="49.94"/>
    <d v="2024-02-14T00:00:00"/>
    <d v="2024-06-26T00:00:00"/>
    <x v="1"/>
    <n v="133"/>
    <n v="2431.85"/>
    <s v="SENS0060"/>
    <d v="2024-06-06T00:00:00"/>
    <n v="11.837268"/>
    <n v="71.615809999999996"/>
    <n v="0.66"/>
    <x v="1"/>
    <n v="133"/>
    <s v="Low"/>
    <s v="High Usage"/>
  </r>
  <r>
    <s v="FARM0061"/>
    <x v="4"/>
    <x v="2"/>
    <n v="31.85"/>
    <n v="6.67"/>
    <n v="29.24"/>
    <n v="145.22999999999999"/>
    <n v="69.87"/>
    <n v="5.77"/>
    <s v="None"/>
    <x v="0"/>
    <n v="40.69"/>
    <d v="2024-01-28T00:00:00"/>
    <d v="2024-06-07T00:00:00"/>
    <x v="1"/>
    <n v="131"/>
    <n v="4603.67"/>
    <s v="SENS0061"/>
    <d v="2024-03-23T00:00:00"/>
    <n v="20.751749"/>
    <n v="87.76182"/>
    <n v="0.55000000000000004"/>
    <x v="2"/>
    <n v="131"/>
    <s v="Medium"/>
    <s v="High Usage"/>
  </r>
  <r>
    <s v="FARM0062"/>
    <x v="1"/>
    <x v="3"/>
    <n v="35.54"/>
    <n v="6.13"/>
    <n v="21.25"/>
    <n v="113.72"/>
    <n v="87.68"/>
    <n v="8.1199999999999992"/>
    <s v="None"/>
    <x v="0"/>
    <n v="9.11"/>
    <d v="2024-01-03T00:00:00"/>
    <d v="2024-04-29T00:00:00"/>
    <x v="3"/>
    <n v="117"/>
    <n v="2386.2600000000002"/>
    <s v="SENS0062"/>
    <d v="2024-04-06T00:00:00"/>
    <n v="19.316171000000001"/>
    <n v="72.602309000000005"/>
    <n v="0.34"/>
    <x v="3"/>
    <n v="117"/>
    <s v="Low"/>
    <s v="Low Usage"/>
  </r>
  <r>
    <s v="FARM0063"/>
    <x v="0"/>
    <x v="3"/>
    <n v="22.38"/>
    <n v="6.83"/>
    <n v="30.01"/>
    <n v="267.02"/>
    <n v="76.05"/>
    <n v="9.81"/>
    <s v="Manual"/>
    <x v="1"/>
    <n v="9.66"/>
    <d v="2024-03-07T00:00:00"/>
    <d v="2024-06-14T00:00:00"/>
    <x v="1"/>
    <n v="99"/>
    <n v="4626.95"/>
    <s v="SENS0063"/>
    <d v="2024-04-04T00:00:00"/>
    <n v="31.181871000000001"/>
    <n v="77.002279999999999"/>
    <n v="0.63"/>
    <x v="1"/>
    <n v="99"/>
    <s v="Medium"/>
    <s v="Low Usage"/>
  </r>
  <r>
    <s v="FARM0064"/>
    <x v="2"/>
    <x v="1"/>
    <n v="17.920000000000002"/>
    <n v="6.36"/>
    <n v="26.22"/>
    <n v="241.86"/>
    <n v="71.09"/>
    <n v="8.0500000000000007"/>
    <s v="Drip"/>
    <x v="2"/>
    <n v="46.81"/>
    <d v="2024-03-09T00:00:00"/>
    <d v="2024-06-08T00:00:00"/>
    <x v="1"/>
    <n v="91"/>
    <n v="2721.66"/>
    <s v="SENS0064"/>
    <d v="2024-06-06T00:00:00"/>
    <n v="29.060237999999998"/>
    <n v="88.430750000000003"/>
    <n v="0.51"/>
    <x v="0"/>
    <n v="91"/>
    <s v="Low"/>
    <s v="High Usage"/>
  </r>
  <r>
    <s v="FARM0065"/>
    <x v="4"/>
    <x v="1"/>
    <n v="33.01"/>
    <n v="5.64"/>
    <n v="29.82"/>
    <n v="292.95"/>
    <n v="44.59"/>
    <n v="7.18"/>
    <s v="None"/>
    <x v="1"/>
    <n v="25.41"/>
    <d v="2024-01-12T00:00:00"/>
    <d v="2024-04-30T00:00:00"/>
    <x v="3"/>
    <n v="109"/>
    <n v="4886.38"/>
    <s v="SENS0065"/>
    <d v="2024-04-20T00:00:00"/>
    <n v="33.535186000000003"/>
    <n v="81.924475000000001"/>
    <n v="0.83"/>
    <x v="0"/>
    <n v="109"/>
    <s v="Medium"/>
    <s v="Medium Usage"/>
  </r>
  <r>
    <s v="FARM0066"/>
    <x v="4"/>
    <x v="1"/>
    <n v="11.74"/>
    <n v="5.66"/>
    <n v="23.86"/>
    <n v="156"/>
    <n v="70.349999999999994"/>
    <n v="6.49"/>
    <s v="Sprinkler"/>
    <x v="2"/>
    <n v="10.119999999999999"/>
    <d v="2024-02-04T00:00:00"/>
    <d v="2024-05-22T00:00:00"/>
    <x v="0"/>
    <n v="108"/>
    <n v="4712.87"/>
    <s v="SENS0066"/>
    <d v="2024-04-19T00:00:00"/>
    <n v="22.165818999999999"/>
    <n v="83.342651000000004"/>
    <n v="0.33"/>
    <x v="2"/>
    <n v="108"/>
    <s v="Medium"/>
    <s v="Low Usage"/>
  </r>
  <r>
    <s v="FARM0067"/>
    <x v="3"/>
    <x v="0"/>
    <n v="10.27"/>
    <n v="6.1"/>
    <n v="19.22"/>
    <n v="84.31"/>
    <n v="52.78"/>
    <n v="5.97"/>
    <s v="Drip"/>
    <x v="1"/>
    <n v="38.619999999999997"/>
    <d v="2024-01-05T00:00:00"/>
    <d v="2024-04-28T00:00:00"/>
    <x v="3"/>
    <n v="114"/>
    <n v="4130.33"/>
    <s v="SENS0067"/>
    <d v="2024-02-03T00:00:00"/>
    <n v="22.506558999999999"/>
    <n v="86.667084000000003"/>
    <n v="0.78"/>
    <x v="1"/>
    <n v="114"/>
    <s v="Medium"/>
    <s v="High Usage"/>
  </r>
  <r>
    <s v="FARM0068"/>
    <x v="1"/>
    <x v="0"/>
    <n v="25.27"/>
    <n v="6.42"/>
    <n v="16.559999999999999"/>
    <n v="128.27000000000001"/>
    <n v="61.46"/>
    <n v="6.43"/>
    <s v="None"/>
    <x v="1"/>
    <n v="10.18"/>
    <d v="2024-01-11T00:00:00"/>
    <d v="2024-04-20T00:00:00"/>
    <x v="3"/>
    <n v="100"/>
    <n v="5205.29"/>
    <s v="SENS0068"/>
    <d v="2024-03-30T00:00:00"/>
    <n v="21.502423"/>
    <n v="83.792201000000006"/>
    <n v="0.52"/>
    <x v="2"/>
    <n v="100"/>
    <s v="High"/>
    <s v="Low Usage"/>
  </r>
  <r>
    <s v="FARM0069"/>
    <x v="0"/>
    <x v="4"/>
    <n v="25.25"/>
    <n v="6.3"/>
    <n v="16.57"/>
    <n v="267.63"/>
    <n v="77.290000000000006"/>
    <n v="5.33"/>
    <s v="Sprinkler"/>
    <x v="0"/>
    <n v="27.97"/>
    <d v="2024-01-17T00:00:00"/>
    <d v="2024-05-18T00:00:00"/>
    <x v="0"/>
    <n v="122"/>
    <n v="2775.61"/>
    <s v="SENS0069"/>
    <d v="2024-04-25T00:00:00"/>
    <n v="18.734382"/>
    <n v="84.547582000000006"/>
    <n v="0.79"/>
    <x v="0"/>
    <n v="122"/>
    <s v="Low"/>
    <s v="Medium Usage"/>
  </r>
  <r>
    <s v="FARM0070"/>
    <x v="4"/>
    <x v="0"/>
    <n v="15.13"/>
    <n v="5.89"/>
    <n v="27.05"/>
    <n v="240.05"/>
    <n v="72.78"/>
    <n v="5.0599999999999996"/>
    <s v="None"/>
    <x v="1"/>
    <n v="38.950000000000003"/>
    <d v="2024-03-15T00:00:00"/>
    <d v="2024-07-26T00:00:00"/>
    <x v="2"/>
    <n v="133"/>
    <n v="5696.62"/>
    <s v="SENS0070"/>
    <d v="2024-06-05T00:00:00"/>
    <n v="31.606172000000001"/>
    <n v="82.544347999999999"/>
    <n v="0.39"/>
    <x v="1"/>
    <n v="133"/>
    <s v="High"/>
    <s v="High Usage"/>
  </r>
  <r>
    <s v="FARM0071"/>
    <x v="1"/>
    <x v="3"/>
    <n v="32.1"/>
    <n v="7.09"/>
    <n v="26.83"/>
    <n v="137.99"/>
    <n v="43.71"/>
    <n v="6.77"/>
    <s v="Drip"/>
    <x v="0"/>
    <n v="21.59"/>
    <d v="2024-02-03T00:00:00"/>
    <d v="2024-06-13T00:00:00"/>
    <x v="1"/>
    <n v="131"/>
    <n v="5457"/>
    <s v="SENS0071"/>
    <d v="2024-02-26T00:00:00"/>
    <n v="25.375209999999999"/>
    <n v="80.141356000000002"/>
    <n v="0.57999999999999996"/>
    <x v="1"/>
    <n v="131"/>
    <s v="High"/>
    <s v="Medium Usage"/>
  </r>
  <r>
    <s v="FARM0072"/>
    <x v="1"/>
    <x v="1"/>
    <n v="32.81"/>
    <n v="6.14"/>
    <n v="24.51"/>
    <n v="87.72"/>
    <n v="43.09"/>
    <n v="4.62"/>
    <s v="Manual"/>
    <x v="2"/>
    <n v="8.7899999999999991"/>
    <d v="2024-03-06T00:00:00"/>
    <d v="2024-06-06T00:00:00"/>
    <x v="1"/>
    <n v="92"/>
    <n v="2990.97"/>
    <s v="SENS0072"/>
    <d v="2024-05-01T00:00:00"/>
    <n v="34.774650999999999"/>
    <n v="80.481370999999996"/>
    <n v="0.67"/>
    <x v="3"/>
    <n v="92"/>
    <s v="Low"/>
    <s v="Low Usage"/>
  </r>
  <r>
    <s v="FARM0073"/>
    <x v="2"/>
    <x v="2"/>
    <n v="23.56"/>
    <n v="7.05"/>
    <n v="28.58"/>
    <n v="63.09"/>
    <n v="71.540000000000006"/>
    <n v="6.01"/>
    <s v="Manual"/>
    <x v="0"/>
    <n v="30.11"/>
    <d v="2024-02-10T00:00:00"/>
    <d v="2024-05-26T00:00:00"/>
    <x v="0"/>
    <n v="106"/>
    <n v="4894.93"/>
    <s v="SENS0073"/>
    <d v="2024-05-04T00:00:00"/>
    <n v="34.110250999999998"/>
    <n v="82.054016000000004"/>
    <n v="0.39"/>
    <x v="1"/>
    <n v="106"/>
    <s v="Medium"/>
    <s v="Medium Usage"/>
  </r>
  <r>
    <s v="FARM0074"/>
    <x v="3"/>
    <x v="4"/>
    <n v="42.09"/>
    <n v="6.12"/>
    <n v="28.12"/>
    <n v="215.53"/>
    <n v="46.45"/>
    <n v="8.25"/>
    <s v="Drip"/>
    <x v="1"/>
    <n v="30.15"/>
    <d v="2024-03-26T00:00:00"/>
    <d v="2024-07-15T00:00:00"/>
    <x v="2"/>
    <n v="111"/>
    <n v="5252.74"/>
    <s v="SENS0074"/>
    <d v="2024-06-19T00:00:00"/>
    <n v="27.570772000000002"/>
    <n v="88.942171999999999"/>
    <n v="0.9"/>
    <x v="1"/>
    <n v="111"/>
    <s v="High"/>
    <s v="Medium Usage"/>
  </r>
  <r>
    <s v="FARM0075"/>
    <x v="1"/>
    <x v="1"/>
    <n v="22.66"/>
    <n v="6.23"/>
    <n v="18.61"/>
    <n v="103.55"/>
    <n v="87.38"/>
    <n v="6.92"/>
    <s v="Sprinkler"/>
    <x v="0"/>
    <n v="11.97"/>
    <d v="2024-02-28T00:00:00"/>
    <d v="2024-07-17T00:00:00"/>
    <x v="2"/>
    <n v="140"/>
    <n v="2404.56"/>
    <s v="SENS0075"/>
    <d v="2024-07-15T00:00:00"/>
    <n v="30.877996"/>
    <n v="87.673642999999998"/>
    <n v="0.32"/>
    <x v="3"/>
    <n v="140"/>
    <s v="Low"/>
    <s v="Low Usage"/>
  </r>
  <r>
    <s v="FARM0076"/>
    <x v="3"/>
    <x v="4"/>
    <n v="30.9"/>
    <n v="5.81"/>
    <n v="18.62"/>
    <n v="223.21"/>
    <n v="71.239999999999995"/>
    <n v="9.42"/>
    <s v="None"/>
    <x v="0"/>
    <n v="23.49"/>
    <d v="2024-03-24T00:00:00"/>
    <d v="2024-07-07T00:00:00"/>
    <x v="2"/>
    <n v="105"/>
    <n v="5878.35"/>
    <s v="SENS0076"/>
    <d v="2024-06-10T00:00:00"/>
    <n v="17.123197999999999"/>
    <n v="84.970730000000003"/>
    <n v="0.56999999999999995"/>
    <x v="0"/>
    <n v="105"/>
    <s v="High"/>
    <s v="Medium Usage"/>
  </r>
  <r>
    <s v="FARM0077"/>
    <x v="2"/>
    <x v="3"/>
    <n v="41.64"/>
    <n v="5.89"/>
    <n v="28.57"/>
    <n v="192.6"/>
    <n v="62.03"/>
    <n v="8.6199999999999992"/>
    <s v="None"/>
    <x v="2"/>
    <n v="28.74"/>
    <d v="2024-01-27T00:00:00"/>
    <d v="2024-05-08T00:00:00"/>
    <x v="0"/>
    <n v="102"/>
    <n v="5205.04"/>
    <s v="SENS0077"/>
    <d v="2024-02-13T00:00:00"/>
    <n v="31.825047999999999"/>
    <n v="71.043595999999994"/>
    <n v="0.59"/>
    <x v="3"/>
    <n v="102"/>
    <s v="High"/>
    <s v="Medium Usage"/>
  </r>
  <r>
    <s v="FARM0078"/>
    <x v="3"/>
    <x v="0"/>
    <n v="34.9"/>
    <n v="6.53"/>
    <n v="17.489999999999998"/>
    <n v="70.97"/>
    <n v="48.02"/>
    <n v="6.7"/>
    <s v="Sprinkler"/>
    <x v="1"/>
    <n v="9.1300000000000008"/>
    <d v="2024-01-27T00:00:00"/>
    <d v="2024-05-24T00:00:00"/>
    <x v="0"/>
    <n v="118"/>
    <n v="5538.52"/>
    <s v="SENS0078"/>
    <d v="2024-01-30T00:00:00"/>
    <n v="20.372423000000001"/>
    <n v="77.929079000000002"/>
    <n v="0.52"/>
    <x v="2"/>
    <n v="118"/>
    <s v="High"/>
    <s v="Low Usage"/>
  </r>
  <r>
    <s v="FARM0079"/>
    <x v="0"/>
    <x v="2"/>
    <n v="17.86"/>
    <n v="6.14"/>
    <n v="16.98"/>
    <n v="228.68"/>
    <n v="56.76"/>
    <n v="4.88"/>
    <s v="Drip"/>
    <x v="1"/>
    <n v="46.28"/>
    <d v="2024-02-23T00:00:00"/>
    <d v="2024-07-15T00:00:00"/>
    <x v="2"/>
    <n v="143"/>
    <n v="2555.17"/>
    <s v="SENS0079"/>
    <d v="2024-06-22T00:00:00"/>
    <n v="21.215036999999999"/>
    <n v="70.105024"/>
    <n v="0.35"/>
    <x v="3"/>
    <n v="143"/>
    <s v="Low"/>
    <s v="High Usage"/>
  </r>
  <r>
    <s v="FARM0080"/>
    <x v="4"/>
    <x v="4"/>
    <n v="29.21"/>
    <n v="6.95"/>
    <n v="25.56"/>
    <n v="77.8"/>
    <n v="54.41"/>
    <n v="5.81"/>
    <s v="Drip"/>
    <x v="0"/>
    <n v="23.89"/>
    <d v="2024-03-15T00:00:00"/>
    <d v="2024-06-17T00:00:00"/>
    <x v="1"/>
    <n v="94"/>
    <n v="2443.4299999999998"/>
    <s v="SENS0080"/>
    <d v="2024-05-17T00:00:00"/>
    <n v="24.918475999999998"/>
    <n v="70.328706999999994"/>
    <n v="0.61"/>
    <x v="0"/>
    <n v="94"/>
    <s v="Low"/>
    <s v="Medium Usage"/>
  </r>
  <r>
    <s v="FARM0081"/>
    <x v="4"/>
    <x v="2"/>
    <n v="25.02"/>
    <n v="6.73"/>
    <n v="19.809999999999999"/>
    <n v="154.13999999999999"/>
    <n v="73.22"/>
    <n v="4.51"/>
    <s v="Manual"/>
    <x v="0"/>
    <n v="47.9"/>
    <d v="2024-03-17T00:00:00"/>
    <d v="2024-08-04T00:00:00"/>
    <x v="4"/>
    <n v="140"/>
    <n v="5953.33"/>
    <s v="SENS0081"/>
    <d v="2024-03-22T00:00:00"/>
    <n v="19.761343"/>
    <n v="79.402702000000005"/>
    <n v="0.68"/>
    <x v="3"/>
    <n v="140"/>
    <s v="High"/>
    <s v="High Usage"/>
  </r>
  <r>
    <s v="FARM0082"/>
    <x v="2"/>
    <x v="0"/>
    <n v="22.5"/>
    <n v="5.64"/>
    <n v="19.82"/>
    <n v="214.28"/>
    <n v="45.18"/>
    <n v="7.49"/>
    <s v="Manual"/>
    <x v="0"/>
    <n v="7"/>
    <d v="2024-03-11T00:00:00"/>
    <d v="2024-07-31T00:00:00"/>
    <x v="2"/>
    <n v="142"/>
    <n v="4571.18"/>
    <s v="SENS0082"/>
    <d v="2024-07-07T00:00:00"/>
    <n v="34.520479999999999"/>
    <n v="79.570622999999998"/>
    <n v="0.41"/>
    <x v="0"/>
    <n v="142"/>
    <s v="Medium"/>
    <s v="Low Usage"/>
  </r>
  <r>
    <s v="FARM0083"/>
    <x v="0"/>
    <x v="3"/>
    <n v="11.29"/>
    <n v="5.9"/>
    <n v="30.82"/>
    <n v="271.45"/>
    <n v="55.78"/>
    <n v="5.86"/>
    <s v="None"/>
    <x v="2"/>
    <n v="26.3"/>
    <d v="2024-01-25T00:00:00"/>
    <d v="2024-06-04T00:00:00"/>
    <x v="1"/>
    <n v="131"/>
    <n v="2764.41"/>
    <s v="SENS0083"/>
    <d v="2024-04-25T00:00:00"/>
    <n v="31.553463000000001"/>
    <n v="70.956080999999998"/>
    <n v="0.69"/>
    <x v="3"/>
    <n v="131"/>
    <s v="Low"/>
    <s v="Medium Usage"/>
  </r>
  <r>
    <s v="FARM0084"/>
    <x v="0"/>
    <x v="2"/>
    <n v="25.29"/>
    <n v="6.3"/>
    <n v="23.79"/>
    <n v="289.12"/>
    <n v="56.95"/>
    <n v="5.12"/>
    <s v="None"/>
    <x v="1"/>
    <n v="46.59"/>
    <d v="2024-03-09T00:00:00"/>
    <d v="2024-07-28T00:00:00"/>
    <x v="2"/>
    <n v="141"/>
    <n v="2330.4499999999998"/>
    <s v="SENS0084"/>
    <d v="2024-06-25T00:00:00"/>
    <n v="11.973174999999999"/>
    <n v="82.049065999999996"/>
    <n v="0.79"/>
    <x v="3"/>
    <n v="141"/>
    <s v="Low"/>
    <s v="High Usage"/>
  </r>
  <r>
    <s v="FARM0085"/>
    <x v="2"/>
    <x v="0"/>
    <n v="12.8"/>
    <n v="6.82"/>
    <n v="21.13"/>
    <n v="200.66"/>
    <n v="61.31"/>
    <n v="8.14"/>
    <s v="Manual"/>
    <x v="1"/>
    <n v="6.91"/>
    <d v="2024-02-20T00:00:00"/>
    <d v="2024-06-16T00:00:00"/>
    <x v="1"/>
    <n v="117"/>
    <n v="3098.22"/>
    <s v="SENS0085"/>
    <d v="2024-05-31T00:00:00"/>
    <n v="33.697609"/>
    <n v="71.500822999999997"/>
    <n v="0.68"/>
    <x v="3"/>
    <n v="117"/>
    <s v="Medium"/>
    <s v="Low Usage"/>
  </r>
  <r>
    <s v="FARM0086"/>
    <x v="3"/>
    <x v="4"/>
    <n v="43.35"/>
    <n v="5.79"/>
    <n v="27.15"/>
    <n v="245.33"/>
    <n v="41.74"/>
    <n v="4.4000000000000004"/>
    <s v="Manual"/>
    <x v="1"/>
    <n v="22.23"/>
    <d v="2024-03-02T00:00:00"/>
    <d v="2024-07-08T00:00:00"/>
    <x v="2"/>
    <n v="128"/>
    <n v="2613.75"/>
    <s v="SENS0086"/>
    <d v="2024-06-25T00:00:00"/>
    <n v="33.720587999999999"/>
    <n v="77.440268000000003"/>
    <n v="0.76"/>
    <x v="0"/>
    <n v="128"/>
    <s v="Low"/>
    <s v="Medium Usage"/>
  </r>
  <r>
    <s v="FARM0087"/>
    <x v="3"/>
    <x v="2"/>
    <n v="23.93"/>
    <n v="6.8"/>
    <n v="19.989999999999998"/>
    <n v="78.36"/>
    <n v="76.78"/>
    <n v="6.99"/>
    <s v="None"/>
    <x v="2"/>
    <n v="10.3"/>
    <d v="2024-02-23T00:00:00"/>
    <d v="2024-06-20T00:00:00"/>
    <x v="1"/>
    <n v="118"/>
    <n v="2858.28"/>
    <s v="SENS0087"/>
    <d v="2024-05-11T00:00:00"/>
    <n v="17.139422"/>
    <n v="88.329577999999998"/>
    <n v="0.59"/>
    <x v="1"/>
    <n v="118"/>
    <s v="Low"/>
    <s v="Low Usage"/>
  </r>
  <r>
    <s v="FARM0088"/>
    <x v="4"/>
    <x v="0"/>
    <n v="25.82"/>
    <n v="7.3"/>
    <n v="23.9"/>
    <n v="71.95"/>
    <n v="74.099999999999994"/>
    <n v="9.07"/>
    <s v="Manual"/>
    <x v="2"/>
    <n v="20.63"/>
    <d v="2024-01-18T00:00:00"/>
    <d v="2024-05-21T00:00:00"/>
    <x v="0"/>
    <n v="124"/>
    <n v="3161.45"/>
    <s v="SENS0088"/>
    <d v="2024-02-25T00:00:00"/>
    <n v="31.284051000000002"/>
    <n v="84.236181999999999"/>
    <n v="0.86"/>
    <x v="0"/>
    <n v="124"/>
    <s v="Medium"/>
    <s v="Medium Usage"/>
  </r>
  <r>
    <s v="FARM0089"/>
    <x v="2"/>
    <x v="1"/>
    <n v="17.850000000000001"/>
    <n v="7.47"/>
    <n v="30.84"/>
    <n v="109.18"/>
    <n v="64.7"/>
    <n v="6.17"/>
    <s v="Manual"/>
    <x v="1"/>
    <n v="41.16"/>
    <d v="2024-03-05T00:00:00"/>
    <d v="2024-07-12T00:00:00"/>
    <x v="2"/>
    <n v="129"/>
    <n v="5536.99"/>
    <s v="SENS0089"/>
    <d v="2024-03-21T00:00:00"/>
    <n v="17.732268000000001"/>
    <n v="89.991900999999999"/>
    <n v="0.73"/>
    <x v="2"/>
    <n v="129"/>
    <s v="High"/>
    <s v="High Usage"/>
  </r>
  <r>
    <s v="FARM0090"/>
    <x v="1"/>
    <x v="1"/>
    <n v="12.58"/>
    <n v="7.44"/>
    <n v="27.85"/>
    <n v="162.49"/>
    <n v="74.010000000000005"/>
    <n v="6.07"/>
    <s v="Sprinkler"/>
    <x v="0"/>
    <n v="24.47"/>
    <d v="2024-01-27T00:00:00"/>
    <d v="2024-05-03T00:00:00"/>
    <x v="0"/>
    <n v="97"/>
    <n v="4072.41"/>
    <s v="SENS0090"/>
    <d v="2024-03-05T00:00:00"/>
    <n v="14.116427"/>
    <n v="76.453215"/>
    <n v="0.73"/>
    <x v="3"/>
    <n v="97"/>
    <s v="Medium"/>
    <s v="Medium Usage"/>
  </r>
  <r>
    <s v="FARM0091"/>
    <x v="3"/>
    <x v="2"/>
    <n v="39.61"/>
    <n v="6"/>
    <n v="27.7"/>
    <n v="187.71"/>
    <n v="46.26"/>
    <n v="5.82"/>
    <s v="Drip"/>
    <x v="2"/>
    <n v="33.840000000000003"/>
    <d v="2024-03-19T00:00:00"/>
    <d v="2024-06-26T00:00:00"/>
    <x v="1"/>
    <n v="99"/>
    <n v="2684.8"/>
    <s v="SENS0091"/>
    <d v="2024-06-06T00:00:00"/>
    <n v="28.015819"/>
    <n v="82.102778000000001"/>
    <n v="0.81"/>
    <x v="1"/>
    <n v="99"/>
    <s v="Low"/>
    <s v="Medium Usage"/>
  </r>
  <r>
    <s v="FARM0092"/>
    <x v="0"/>
    <x v="0"/>
    <n v="11.59"/>
    <n v="6.78"/>
    <n v="26.54"/>
    <n v="212.78"/>
    <n v="78.349999999999994"/>
    <n v="6.5"/>
    <s v="Drip"/>
    <x v="1"/>
    <n v="45"/>
    <d v="2024-03-10T00:00:00"/>
    <d v="2024-07-19T00:00:00"/>
    <x v="2"/>
    <n v="131"/>
    <n v="5826.6"/>
    <s v="SENS0092"/>
    <d v="2024-07-11T00:00:00"/>
    <n v="16.121948"/>
    <n v="86.146985999999998"/>
    <n v="0.54"/>
    <x v="2"/>
    <n v="131"/>
    <s v="High"/>
    <s v="High Usage"/>
  </r>
  <r>
    <s v="FARM0093"/>
    <x v="0"/>
    <x v="0"/>
    <n v="15.53"/>
    <n v="6.33"/>
    <n v="24.29"/>
    <n v="135.05000000000001"/>
    <n v="47.18"/>
    <n v="9.17"/>
    <s v="Manual"/>
    <x v="2"/>
    <n v="49.46"/>
    <d v="2024-02-13T00:00:00"/>
    <d v="2024-05-21T00:00:00"/>
    <x v="0"/>
    <n v="98"/>
    <n v="5042.66"/>
    <s v="SENS0093"/>
    <d v="2024-04-18T00:00:00"/>
    <n v="24.04128"/>
    <n v="76.382317999999998"/>
    <n v="0.57999999999999996"/>
    <x v="3"/>
    <n v="98"/>
    <s v="Medium"/>
    <s v="High Usage"/>
  </r>
  <r>
    <s v="FARM0094"/>
    <x v="1"/>
    <x v="4"/>
    <n v="14.93"/>
    <n v="5.6"/>
    <n v="33.909999999999997"/>
    <n v="266.04000000000002"/>
    <n v="60.91"/>
    <n v="9.7799999999999994"/>
    <s v="Sprinkler"/>
    <x v="1"/>
    <n v="47.02"/>
    <d v="2024-03-11T00:00:00"/>
    <d v="2024-06-21T00:00:00"/>
    <x v="1"/>
    <n v="102"/>
    <n v="5052.49"/>
    <s v="SENS0094"/>
    <d v="2024-05-13T00:00:00"/>
    <n v="34.899234999999997"/>
    <n v="79.336302000000003"/>
    <n v="0.83"/>
    <x v="2"/>
    <n v="102"/>
    <s v="Medium"/>
    <s v="High Usage"/>
  </r>
  <r>
    <s v="FARM0095"/>
    <x v="0"/>
    <x v="0"/>
    <n v="43.08"/>
    <n v="6.51"/>
    <n v="34.33"/>
    <n v="103.79"/>
    <n v="57.64"/>
    <n v="4.3"/>
    <s v="None"/>
    <x v="2"/>
    <n v="44.71"/>
    <d v="2024-03-22T00:00:00"/>
    <d v="2024-07-20T00:00:00"/>
    <x v="2"/>
    <n v="120"/>
    <n v="3142.99"/>
    <s v="SENS0095"/>
    <d v="2024-03-23T00:00:00"/>
    <n v="31.179309"/>
    <n v="78.618555000000001"/>
    <n v="0.83"/>
    <x v="3"/>
    <n v="120"/>
    <s v="Medium"/>
    <s v="High Usage"/>
  </r>
  <r>
    <s v="FARM0096"/>
    <x v="1"/>
    <x v="2"/>
    <n v="11.58"/>
    <n v="5.6"/>
    <n v="26.24"/>
    <n v="140.63"/>
    <n v="54.43"/>
    <n v="6.32"/>
    <s v="None"/>
    <x v="2"/>
    <n v="17.59"/>
    <d v="2024-03-22T00:00:00"/>
    <d v="2024-07-29T00:00:00"/>
    <x v="2"/>
    <n v="129"/>
    <n v="2475.2399999999998"/>
    <s v="SENS0096"/>
    <d v="2024-04-15T00:00:00"/>
    <n v="19.847593"/>
    <n v="85.897945000000007"/>
    <n v="0.5"/>
    <x v="3"/>
    <n v="129"/>
    <s v="Low"/>
    <s v="Medium Usage"/>
  </r>
  <r>
    <s v="FARM0097"/>
    <x v="4"/>
    <x v="4"/>
    <n v="31.09"/>
    <n v="6.3"/>
    <n v="15.81"/>
    <n v="59.73"/>
    <n v="75.680000000000007"/>
    <n v="8.82"/>
    <s v="None"/>
    <x v="0"/>
    <n v="32.28"/>
    <d v="2024-03-05T00:00:00"/>
    <d v="2024-06-23T00:00:00"/>
    <x v="1"/>
    <n v="110"/>
    <n v="5725.47"/>
    <s v="SENS0097"/>
    <d v="2024-04-14T00:00:00"/>
    <n v="14.062550999999999"/>
    <n v="89.812314999999998"/>
    <n v="0.74"/>
    <x v="3"/>
    <n v="110"/>
    <s v="High"/>
    <s v="Medium Usage"/>
  </r>
  <r>
    <s v="FARM0098"/>
    <x v="3"/>
    <x v="2"/>
    <n v="27.76"/>
    <n v="6.52"/>
    <n v="24.8"/>
    <n v="190.73"/>
    <n v="63.74"/>
    <n v="4.0999999999999996"/>
    <s v="Manual"/>
    <x v="2"/>
    <n v="9.93"/>
    <d v="2024-02-19T00:00:00"/>
    <d v="2024-06-07T00:00:00"/>
    <x v="1"/>
    <n v="109"/>
    <n v="5187.0200000000004"/>
    <s v="SENS0098"/>
    <d v="2024-05-21T00:00:00"/>
    <n v="31.802478000000001"/>
    <n v="82.585210000000004"/>
    <n v="0.66"/>
    <x v="3"/>
    <n v="109"/>
    <s v="High"/>
    <s v="Low Usage"/>
  </r>
  <r>
    <s v="FARM0099"/>
    <x v="3"/>
    <x v="1"/>
    <n v="17.96"/>
    <n v="5.6"/>
    <n v="24.61"/>
    <n v="181.06"/>
    <n v="76.06"/>
    <n v="8.65"/>
    <s v="None"/>
    <x v="0"/>
    <n v="41.97"/>
    <d v="2024-01-02T00:00:00"/>
    <d v="2024-05-07T00:00:00"/>
    <x v="0"/>
    <n v="126"/>
    <n v="5792.82"/>
    <s v="SENS0099"/>
    <d v="2024-01-16T00:00:00"/>
    <n v="14.769608"/>
    <n v="78.820770999999993"/>
    <n v="0.55000000000000004"/>
    <x v="2"/>
    <n v="126"/>
    <s v="High"/>
    <s v="High Usage"/>
  </r>
  <r>
    <s v="FARM0100"/>
    <x v="4"/>
    <x v="3"/>
    <n v="27.56"/>
    <n v="6.72"/>
    <n v="24.43"/>
    <n v="262.08999999999997"/>
    <n v="76.37"/>
    <n v="8.23"/>
    <s v="Sprinkler"/>
    <x v="2"/>
    <n v="19.63"/>
    <d v="2024-03-16T00:00:00"/>
    <d v="2024-07-17T00:00:00"/>
    <x v="2"/>
    <n v="123"/>
    <n v="3507.3"/>
    <s v="SENS0100"/>
    <d v="2024-07-16T00:00:00"/>
    <n v="14.329561"/>
    <n v="88.242482999999993"/>
    <n v="0.51"/>
    <x v="3"/>
    <n v="123"/>
    <s v="Medium"/>
    <s v="Medium Usage"/>
  </r>
  <r>
    <s v="FARM0101"/>
    <x v="2"/>
    <x v="1"/>
    <n v="26.95"/>
    <n v="7.41"/>
    <n v="20.58"/>
    <n v="124.62"/>
    <n v="87.07"/>
    <n v="9.89"/>
    <s v="Manual"/>
    <x v="2"/>
    <n v="14.33"/>
    <d v="2024-03-16T00:00:00"/>
    <d v="2024-07-04T00:00:00"/>
    <x v="2"/>
    <n v="110"/>
    <n v="3919.21"/>
    <s v="SENS0101"/>
    <d v="2024-05-26T00:00:00"/>
    <n v="33.342509"/>
    <n v="85.908107000000001"/>
    <n v="0.46"/>
    <x v="1"/>
    <n v="110"/>
    <s v="Medium"/>
    <s v="Low Usage"/>
  </r>
  <r>
    <s v="FARM0102"/>
    <x v="3"/>
    <x v="1"/>
    <n v="23.29"/>
    <n v="7.46"/>
    <n v="31.37"/>
    <n v="288.64999999999998"/>
    <n v="80.23"/>
    <n v="5.74"/>
    <s v="Manual"/>
    <x v="2"/>
    <n v="8.56"/>
    <d v="2024-02-21T00:00:00"/>
    <d v="2024-06-06T00:00:00"/>
    <x v="1"/>
    <n v="106"/>
    <n v="4989.3500000000004"/>
    <s v="SENS0102"/>
    <d v="2024-03-19T00:00:00"/>
    <n v="15.0517"/>
    <n v="80.771557999999999"/>
    <n v="0.86"/>
    <x v="3"/>
    <n v="106"/>
    <s v="Medium"/>
    <s v="Low Usage"/>
  </r>
  <r>
    <s v="FARM0103"/>
    <x v="4"/>
    <x v="0"/>
    <n v="31.55"/>
    <n v="6.67"/>
    <n v="19.850000000000001"/>
    <n v="217.46"/>
    <n v="66.55"/>
    <n v="7.83"/>
    <s v="Drip"/>
    <x v="0"/>
    <n v="23.6"/>
    <d v="2024-03-16T00:00:00"/>
    <d v="2024-06-20T00:00:00"/>
    <x v="1"/>
    <n v="96"/>
    <n v="4724.7700000000004"/>
    <s v="SENS0103"/>
    <d v="2024-04-02T00:00:00"/>
    <n v="10.129536"/>
    <n v="81.007051000000004"/>
    <n v="0.86"/>
    <x v="2"/>
    <n v="96"/>
    <s v="Medium"/>
    <s v="Medium Usage"/>
  </r>
  <r>
    <s v="FARM0104"/>
    <x v="1"/>
    <x v="3"/>
    <n v="32.770000000000003"/>
    <n v="7.01"/>
    <n v="20.74"/>
    <n v="121.35"/>
    <n v="42.96"/>
    <n v="8.61"/>
    <s v="Sprinkler"/>
    <x v="2"/>
    <n v="38.24"/>
    <d v="2024-01-06T00:00:00"/>
    <d v="2024-05-01T00:00:00"/>
    <x v="0"/>
    <n v="116"/>
    <n v="5528.98"/>
    <s v="SENS0104"/>
    <d v="2024-01-28T00:00:00"/>
    <n v="33.348064999999998"/>
    <n v="70.726797000000005"/>
    <n v="0.8"/>
    <x v="2"/>
    <n v="116"/>
    <s v="High"/>
    <s v="High Usage"/>
  </r>
  <r>
    <s v="FARM0105"/>
    <x v="4"/>
    <x v="2"/>
    <n v="40.69"/>
    <n v="5.52"/>
    <n v="26.36"/>
    <n v="76.83"/>
    <n v="89.15"/>
    <n v="5.71"/>
    <s v="None"/>
    <x v="0"/>
    <n v="43.3"/>
    <d v="2024-02-09T00:00:00"/>
    <d v="2024-05-21T00:00:00"/>
    <x v="0"/>
    <n v="102"/>
    <n v="5235.26"/>
    <s v="SENS0105"/>
    <d v="2024-03-22T00:00:00"/>
    <n v="14.062357"/>
    <n v="79.178289000000007"/>
    <n v="0.45"/>
    <x v="0"/>
    <n v="102"/>
    <s v="High"/>
    <s v="High Usage"/>
  </r>
  <r>
    <s v="FARM0106"/>
    <x v="0"/>
    <x v="2"/>
    <n v="37.68"/>
    <n v="6.64"/>
    <n v="30.15"/>
    <n v="93.87"/>
    <n v="82.81"/>
    <n v="9.3800000000000008"/>
    <s v="None"/>
    <x v="2"/>
    <n v="19.760000000000002"/>
    <d v="2024-02-22T00:00:00"/>
    <d v="2024-05-28T00:00:00"/>
    <x v="0"/>
    <n v="96"/>
    <n v="2739.12"/>
    <s v="SENS0106"/>
    <d v="2024-03-10T00:00:00"/>
    <n v="21.936351999999999"/>
    <n v="88.716508000000005"/>
    <n v="0.3"/>
    <x v="2"/>
    <n v="96"/>
    <s v="Low"/>
    <s v="Medium Usage"/>
  </r>
  <r>
    <s v="FARM0107"/>
    <x v="4"/>
    <x v="3"/>
    <n v="36.380000000000003"/>
    <n v="7.41"/>
    <n v="21.04"/>
    <n v="230.72"/>
    <n v="40.57"/>
    <n v="7.92"/>
    <s v="Sprinkler"/>
    <x v="0"/>
    <n v="35.049999999999997"/>
    <d v="2024-02-10T00:00:00"/>
    <d v="2024-05-20T00:00:00"/>
    <x v="0"/>
    <n v="100"/>
    <n v="3621.67"/>
    <s v="SENS0107"/>
    <d v="2024-04-14T00:00:00"/>
    <n v="33.077649999999998"/>
    <n v="87.756028000000001"/>
    <n v="0.76"/>
    <x v="1"/>
    <n v="100"/>
    <s v="Medium"/>
    <s v="Medium Usage"/>
  </r>
  <r>
    <s v="FARM0108"/>
    <x v="2"/>
    <x v="2"/>
    <n v="31.51"/>
    <n v="5.94"/>
    <n v="17.670000000000002"/>
    <n v="88.3"/>
    <n v="77.39"/>
    <n v="7.63"/>
    <s v="None"/>
    <x v="2"/>
    <n v="29.72"/>
    <d v="2024-02-25T00:00:00"/>
    <d v="2024-06-28T00:00:00"/>
    <x v="1"/>
    <n v="124"/>
    <n v="5207.9799999999996"/>
    <s v="SENS0108"/>
    <d v="2024-06-09T00:00:00"/>
    <n v="15.460291"/>
    <n v="74.949309"/>
    <n v="0.75"/>
    <x v="1"/>
    <n v="124"/>
    <s v="High"/>
    <s v="Medium Usage"/>
  </r>
  <r>
    <s v="FARM0109"/>
    <x v="3"/>
    <x v="3"/>
    <n v="28.49"/>
    <n v="6.22"/>
    <n v="33.340000000000003"/>
    <n v="78.05"/>
    <n v="81.44"/>
    <n v="9.42"/>
    <s v="Sprinkler"/>
    <x v="2"/>
    <n v="29.15"/>
    <d v="2024-01-11T00:00:00"/>
    <d v="2024-06-03T00:00:00"/>
    <x v="1"/>
    <n v="144"/>
    <n v="4081.37"/>
    <s v="SENS0109"/>
    <d v="2024-02-09T00:00:00"/>
    <n v="27.007380999999999"/>
    <n v="84.338358999999997"/>
    <n v="0.59"/>
    <x v="2"/>
    <n v="144"/>
    <s v="Medium"/>
    <s v="Medium Usage"/>
  </r>
  <r>
    <s v="FARM0110"/>
    <x v="0"/>
    <x v="3"/>
    <n v="14.62"/>
    <n v="6.33"/>
    <n v="26.28"/>
    <n v="189.7"/>
    <n v="73.64"/>
    <n v="5.85"/>
    <s v="Drip"/>
    <x v="1"/>
    <n v="16.45"/>
    <d v="2024-01-24T00:00:00"/>
    <d v="2024-05-06T00:00:00"/>
    <x v="0"/>
    <n v="103"/>
    <n v="4313.25"/>
    <s v="SENS0110"/>
    <d v="2024-01-29T00:00:00"/>
    <n v="20.592434999999998"/>
    <n v="84.007698000000005"/>
    <n v="0.62"/>
    <x v="1"/>
    <n v="103"/>
    <s v="Medium"/>
    <s v="Medium Usage"/>
  </r>
  <r>
    <s v="FARM0111"/>
    <x v="0"/>
    <x v="3"/>
    <n v="11.11"/>
    <n v="6.32"/>
    <n v="30.38"/>
    <n v="241.46"/>
    <n v="88.92"/>
    <n v="7.88"/>
    <s v="None"/>
    <x v="1"/>
    <n v="49.68"/>
    <d v="2024-02-15T00:00:00"/>
    <d v="2024-07-09T00:00:00"/>
    <x v="2"/>
    <n v="145"/>
    <n v="5668.46"/>
    <s v="SENS0111"/>
    <d v="2024-05-21T00:00:00"/>
    <n v="19.391138000000002"/>
    <n v="83.654606999999999"/>
    <n v="0.7"/>
    <x v="0"/>
    <n v="145"/>
    <s v="High"/>
    <s v="High Usage"/>
  </r>
  <r>
    <s v="FARM0112"/>
    <x v="2"/>
    <x v="0"/>
    <n v="16.25"/>
    <n v="6.57"/>
    <n v="25.58"/>
    <n v="231.96"/>
    <n v="51.13"/>
    <n v="4.0199999999999996"/>
    <s v="Drip"/>
    <x v="1"/>
    <n v="25.84"/>
    <d v="2024-03-18T00:00:00"/>
    <d v="2024-07-13T00:00:00"/>
    <x v="2"/>
    <n v="117"/>
    <n v="4127.7299999999996"/>
    <s v="SENS0112"/>
    <d v="2024-07-01T00:00:00"/>
    <n v="15.741602"/>
    <n v="79.212506000000005"/>
    <n v="0.39"/>
    <x v="0"/>
    <n v="117"/>
    <s v="Medium"/>
    <s v="Medium Usage"/>
  </r>
  <r>
    <s v="FARM0113"/>
    <x v="0"/>
    <x v="0"/>
    <n v="38.33"/>
    <n v="6.34"/>
    <n v="30.32"/>
    <n v="270.94"/>
    <n v="40.78"/>
    <n v="5.24"/>
    <s v="Drip"/>
    <x v="2"/>
    <n v="6.51"/>
    <d v="2024-03-22T00:00:00"/>
    <d v="2024-08-04T00:00:00"/>
    <x v="4"/>
    <n v="135"/>
    <n v="5488.85"/>
    <s v="SENS0113"/>
    <d v="2024-05-23T00:00:00"/>
    <n v="28.513527"/>
    <n v="78.045306999999994"/>
    <n v="0.44"/>
    <x v="0"/>
    <n v="135"/>
    <s v="High"/>
    <s v="Low Usage"/>
  </r>
  <r>
    <s v="FARM0114"/>
    <x v="0"/>
    <x v="4"/>
    <n v="27.64"/>
    <n v="6.08"/>
    <n v="31.32"/>
    <n v="232.88"/>
    <n v="55.95"/>
    <n v="7.59"/>
    <s v="Manual"/>
    <x v="0"/>
    <n v="18.579999999999998"/>
    <d v="2024-01-22T00:00:00"/>
    <d v="2024-05-24T00:00:00"/>
    <x v="0"/>
    <n v="123"/>
    <n v="2884.17"/>
    <s v="SENS0114"/>
    <d v="2024-02-29T00:00:00"/>
    <n v="16.878848000000001"/>
    <n v="81.134361999999996"/>
    <n v="0.66"/>
    <x v="0"/>
    <n v="123"/>
    <s v="Low"/>
    <s v="Medium Usage"/>
  </r>
  <r>
    <s v="FARM0115"/>
    <x v="1"/>
    <x v="1"/>
    <n v="27.35"/>
    <n v="7.44"/>
    <n v="33.83"/>
    <n v="217.84"/>
    <n v="79.290000000000006"/>
    <n v="5.91"/>
    <s v="None"/>
    <x v="1"/>
    <n v="11.71"/>
    <d v="2024-02-06T00:00:00"/>
    <d v="2024-06-23T00:00:00"/>
    <x v="1"/>
    <n v="138"/>
    <n v="4151.71"/>
    <s v="SENS0115"/>
    <d v="2024-04-07T00:00:00"/>
    <n v="31.233523000000002"/>
    <n v="76.014728000000005"/>
    <n v="0.72"/>
    <x v="2"/>
    <n v="138"/>
    <s v="Medium"/>
    <s v="Low Usage"/>
  </r>
  <r>
    <s v="FARM0116"/>
    <x v="0"/>
    <x v="1"/>
    <n v="24.44"/>
    <n v="6.33"/>
    <n v="25.6"/>
    <n v="147.1"/>
    <n v="52.75"/>
    <n v="5.98"/>
    <s v="Drip"/>
    <x v="1"/>
    <n v="43.12"/>
    <d v="2024-01-18T00:00:00"/>
    <d v="2024-06-02T00:00:00"/>
    <x v="1"/>
    <n v="136"/>
    <n v="5317.63"/>
    <s v="SENS0116"/>
    <d v="2024-01-31T00:00:00"/>
    <n v="16.711539999999999"/>
    <n v="83.473438000000002"/>
    <n v="0.66"/>
    <x v="1"/>
    <n v="136"/>
    <s v="High"/>
    <s v="High Usage"/>
  </r>
  <r>
    <s v="FARM0117"/>
    <x v="4"/>
    <x v="1"/>
    <n v="35.35"/>
    <n v="6.62"/>
    <n v="24.59"/>
    <n v="267.37"/>
    <n v="56.65"/>
    <n v="9.74"/>
    <s v="Drip"/>
    <x v="0"/>
    <n v="47.17"/>
    <d v="2024-03-04T00:00:00"/>
    <d v="2024-07-19T00:00:00"/>
    <x v="2"/>
    <n v="137"/>
    <n v="5998.29"/>
    <s v="SENS0117"/>
    <d v="2024-07-04T00:00:00"/>
    <n v="32.861032000000002"/>
    <n v="83.912526"/>
    <n v="0.72"/>
    <x v="2"/>
    <n v="137"/>
    <s v="High"/>
    <s v="High Usage"/>
  </r>
  <r>
    <s v="FARM0118"/>
    <x v="4"/>
    <x v="1"/>
    <n v="21.26"/>
    <n v="6.07"/>
    <n v="24.33"/>
    <n v="212.18"/>
    <n v="55.42"/>
    <n v="6.16"/>
    <s v="None"/>
    <x v="1"/>
    <n v="9.44"/>
    <d v="2024-03-16T00:00:00"/>
    <d v="2024-08-01T00:00:00"/>
    <x v="4"/>
    <n v="138"/>
    <n v="5358.92"/>
    <s v="SENS0118"/>
    <d v="2024-05-07T00:00:00"/>
    <n v="19.267623"/>
    <n v="78.278603000000004"/>
    <n v="0.64"/>
    <x v="0"/>
    <n v="138"/>
    <s v="High"/>
    <s v="Low Usage"/>
  </r>
  <r>
    <s v="FARM0119"/>
    <x v="4"/>
    <x v="0"/>
    <n v="19.13"/>
    <n v="7.37"/>
    <n v="26.58"/>
    <n v="154.38999999999999"/>
    <n v="47.62"/>
    <n v="5.98"/>
    <s v="None"/>
    <x v="2"/>
    <n v="42.5"/>
    <d v="2024-02-18T00:00:00"/>
    <d v="2024-06-28T00:00:00"/>
    <x v="1"/>
    <n v="131"/>
    <n v="5773.86"/>
    <s v="SENS0119"/>
    <d v="2024-05-14T00:00:00"/>
    <n v="16.433168999999999"/>
    <n v="86.431838999999997"/>
    <n v="0.88"/>
    <x v="2"/>
    <n v="131"/>
    <s v="High"/>
    <s v="High Usage"/>
  </r>
  <r>
    <s v="FARM0120"/>
    <x v="1"/>
    <x v="4"/>
    <n v="35.65"/>
    <n v="6.2"/>
    <n v="17.8"/>
    <n v="186.64"/>
    <n v="49.2"/>
    <n v="9.34"/>
    <s v="Drip"/>
    <x v="2"/>
    <n v="6.52"/>
    <d v="2024-01-27T00:00:00"/>
    <d v="2024-06-07T00:00:00"/>
    <x v="1"/>
    <n v="132"/>
    <n v="2194.06"/>
    <s v="SENS0120"/>
    <d v="2024-01-28T00:00:00"/>
    <n v="20.309805999999998"/>
    <n v="86.850893999999997"/>
    <n v="0.44"/>
    <x v="0"/>
    <n v="132"/>
    <s v="Low"/>
    <s v="Low Usage"/>
  </r>
  <r>
    <s v="FARM0121"/>
    <x v="0"/>
    <x v="4"/>
    <n v="27.7"/>
    <n v="6.25"/>
    <n v="27.36"/>
    <n v="216.69"/>
    <n v="70.83"/>
    <n v="6.9"/>
    <s v="None"/>
    <x v="0"/>
    <n v="5.3"/>
    <d v="2024-03-14T00:00:00"/>
    <d v="2024-06-12T00:00:00"/>
    <x v="1"/>
    <n v="90"/>
    <n v="2066.9"/>
    <s v="SENS0121"/>
    <d v="2024-04-18T00:00:00"/>
    <n v="23.393453000000001"/>
    <n v="75.733771000000004"/>
    <n v="0.6"/>
    <x v="2"/>
    <n v="90"/>
    <s v="Low"/>
    <s v="Low Usage"/>
  </r>
  <r>
    <s v="FARM0122"/>
    <x v="4"/>
    <x v="0"/>
    <n v="42.13"/>
    <n v="6.55"/>
    <n v="19.82"/>
    <n v="204.95"/>
    <n v="52.62"/>
    <n v="6.13"/>
    <s v="None"/>
    <x v="0"/>
    <n v="21.79"/>
    <d v="2024-02-15T00:00:00"/>
    <d v="2024-06-20T00:00:00"/>
    <x v="1"/>
    <n v="126"/>
    <n v="2972.83"/>
    <s v="SENS0122"/>
    <d v="2024-05-14T00:00:00"/>
    <n v="15.646431"/>
    <n v="83.680833000000007"/>
    <n v="0.81"/>
    <x v="1"/>
    <n v="126"/>
    <s v="Low"/>
    <s v="Medium Usage"/>
  </r>
  <r>
    <s v="FARM0123"/>
    <x v="0"/>
    <x v="3"/>
    <n v="23.27"/>
    <n v="6.61"/>
    <n v="16.12"/>
    <n v="52.36"/>
    <n v="48.57"/>
    <n v="7"/>
    <s v="None"/>
    <x v="2"/>
    <n v="40.299999999999997"/>
    <d v="2024-03-28T00:00:00"/>
    <d v="2024-07-02T00:00:00"/>
    <x v="2"/>
    <n v="96"/>
    <n v="5579.16"/>
    <s v="SENS0123"/>
    <d v="2024-04-02T00:00:00"/>
    <n v="15.744161999999999"/>
    <n v="88.025458999999998"/>
    <n v="0.72"/>
    <x v="2"/>
    <n v="96"/>
    <s v="High"/>
    <s v="High Usage"/>
  </r>
  <r>
    <s v="FARM0124"/>
    <x v="2"/>
    <x v="0"/>
    <n v="42.35"/>
    <n v="6.87"/>
    <n v="20.61"/>
    <n v="185.76"/>
    <n v="72.91"/>
    <n v="5.08"/>
    <s v="Manual"/>
    <x v="0"/>
    <n v="48.27"/>
    <d v="2024-03-05T00:00:00"/>
    <d v="2024-07-21T00:00:00"/>
    <x v="2"/>
    <n v="138"/>
    <n v="5282.76"/>
    <s v="SENS0124"/>
    <d v="2024-06-14T00:00:00"/>
    <n v="33.221874"/>
    <n v="75.985538000000005"/>
    <n v="0.64"/>
    <x v="2"/>
    <n v="138"/>
    <s v="High"/>
    <s v="High Usage"/>
  </r>
  <r>
    <s v="FARM0125"/>
    <x v="3"/>
    <x v="2"/>
    <n v="23.43"/>
    <n v="6.98"/>
    <n v="30.81"/>
    <n v="222.33"/>
    <n v="43.92"/>
    <n v="8.4700000000000006"/>
    <s v="Manual"/>
    <x v="0"/>
    <n v="9.4"/>
    <d v="2024-01-27T00:00:00"/>
    <d v="2024-04-30T00:00:00"/>
    <x v="3"/>
    <n v="94"/>
    <n v="3362.37"/>
    <s v="SENS0125"/>
    <d v="2024-04-14T00:00:00"/>
    <n v="33.871459999999999"/>
    <n v="77.934061"/>
    <n v="0.76"/>
    <x v="1"/>
    <n v="94"/>
    <s v="Medium"/>
    <s v="Low Usage"/>
  </r>
  <r>
    <s v="FARM0126"/>
    <x v="2"/>
    <x v="3"/>
    <n v="27.17"/>
    <n v="6.21"/>
    <n v="33.82"/>
    <n v="157.96"/>
    <n v="73.98"/>
    <n v="7.96"/>
    <s v="Drip"/>
    <x v="2"/>
    <n v="18.29"/>
    <d v="2024-01-23T00:00:00"/>
    <d v="2024-04-26T00:00:00"/>
    <x v="3"/>
    <n v="94"/>
    <n v="2328.15"/>
    <s v="SENS0126"/>
    <d v="2024-02-11T00:00:00"/>
    <n v="19.5"/>
    <n v="85.677806000000004"/>
    <n v="0.39"/>
    <x v="2"/>
    <n v="94"/>
    <s v="Low"/>
    <s v="Medium Usage"/>
  </r>
  <r>
    <s v="FARM0127"/>
    <x v="2"/>
    <x v="2"/>
    <n v="13.73"/>
    <n v="5.51"/>
    <n v="21.17"/>
    <n v="139.97999999999999"/>
    <n v="53.49"/>
    <n v="4.8"/>
    <s v="Sprinkler"/>
    <x v="1"/>
    <n v="25.2"/>
    <d v="2024-03-17T00:00:00"/>
    <d v="2024-07-11T00:00:00"/>
    <x v="2"/>
    <n v="116"/>
    <n v="2413.17"/>
    <s v="SENS0127"/>
    <d v="2024-03-28T00:00:00"/>
    <n v="18.847857000000001"/>
    <n v="71.861284999999995"/>
    <n v="0.66"/>
    <x v="3"/>
    <n v="116"/>
    <s v="Low"/>
    <s v="Medium Usage"/>
  </r>
  <r>
    <s v="FARM0128"/>
    <x v="1"/>
    <x v="0"/>
    <n v="20.21"/>
    <n v="6.28"/>
    <n v="16.690000000000001"/>
    <n v="275.27999999999997"/>
    <n v="85.26"/>
    <n v="9.8699999999999992"/>
    <s v="Sprinkler"/>
    <x v="2"/>
    <n v="22.13"/>
    <d v="2024-01-09T00:00:00"/>
    <d v="2024-04-27T00:00:00"/>
    <x v="3"/>
    <n v="109"/>
    <n v="3073.63"/>
    <s v="SENS0128"/>
    <d v="2024-01-27T00:00:00"/>
    <n v="11.581678999999999"/>
    <n v="78.693524999999994"/>
    <n v="0.55000000000000004"/>
    <x v="2"/>
    <n v="109"/>
    <s v="Medium"/>
    <s v="Medium Usage"/>
  </r>
  <r>
    <s v="FARM0129"/>
    <x v="0"/>
    <x v="2"/>
    <n v="18.809999999999999"/>
    <n v="5.99"/>
    <n v="27.5"/>
    <n v="198.45"/>
    <n v="49.78"/>
    <n v="4.6399999999999997"/>
    <s v="Manual"/>
    <x v="0"/>
    <n v="47.7"/>
    <d v="2024-02-27T00:00:00"/>
    <d v="2024-07-05T00:00:00"/>
    <x v="2"/>
    <n v="129"/>
    <n v="3519.56"/>
    <s v="SENS0129"/>
    <d v="2024-05-21T00:00:00"/>
    <n v="21.005572999999998"/>
    <n v="78.612324000000001"/>
    <n v="0.79"/>
    <x v="0"/>
    <n v="129"/>
    <s v="Medium"/>
    <s v="High Usage"/>
  </r>
  <r>
    <s v="FARM0130"/>
    <x v="2"/>
    <x v="2"/>
    <n v="31.11"/>
    <n v="6.89"/>
    <n v="24.58"/>
    <n v="94.41"/>
    <n v="59.91"/>
    <n v="5.91"/>
    <s v="None"/>
    <x v="2"/>
    <n v="40.19"/>
    <d v="2024-02-13T00:00:00"/>
    <d v="2024-05-30T00:00:00"/>
    <x v="0"/>
    <n v="107"/>
    <n v="5265.98"/>
    <s v="SENS0130"/>
    <d v="2024-04-03T00:00:00"/>
    <n v="19.125388000000001"/>
    <n v="88.641343000000006"/>
    <n v="0.42"/>
    <x v="0"/>
    <n v="107"/>
    <s v="High"/>
    <s v="High Usage"/>
  </r>
  <r>
    <s v="FARM0131"/>
    <x v="3"/>
    <x v="0"/>
    <n v="43.36"/>
    <n v="6.42"/>
    <n v="29.17"/>
    <n v="159.61000000000001"/>
    <n v="54.57"/>
    <n v="8.16"/>
    <s v="None"/>
    <x v="2"/>
    <n v="27.47"/>
    <d v="2024-03-10T00:00:00"/>
    <d v="2024-06-23T00:00:00"/>
    <x v="1"/>
    <n v="105"/>
    <n v="3010.73"/>
    <s v="SENS0131"/>
    <d v="2024-03-29T00:00:00"/>
    <n v="27.88091"/>
    <n v="85.781535000000005"/>
    <n v="0.34"/>
    <x v="2"/>
    <n v="105"/>
    <s v="Medium"/>
    <s v="Medium Usage"/>
  </r>
  <r>
    <s v="FARM0132"/>
    <x v="3"/>
    <x v="3"/>
    <n v="28.7"/>
    <n v="7.35"/>
    <n v="32.39"/>
    <n v="154.58000000000001"/>
    <n v="41.84"/>
    <n v="9.81"/>
    <s v="Drip"/>
    <x v="0"/>
    <n v="39.6"/>
    <d v="2024-03-22T00:00:00"/>
    <d v="2024-07-12T00:00:00"/>
    <x v="2"/>
    <n v="112"/>
    <n v="2665.35"/>
    <s v="SENS0132"/>
    <d v="2024-06-08T00:00:00"/>
    <n v="11.107417"/>
    <n v="89.672163999999995"/>
    <n v="0.71"/>
    <x v="2"/>
    <n v="112"/>
    <s v="Low"/>
    <s v="High Usage"/>
  </r>
  <r>
    <s v="FARM0133"/>
    <x v="2"/>
    <x v="3"/>
    <n v="13.71"/>
    <n v="5.7"/>
    <n v="19.440000000000001"/>
    <n v="236.71"/>
    <n v="67.900000000000006"/>
    <n v="8.1300000000000008"/>
    <s v="Sprinkler"/>
    <x v="1"/>
    <n v="21.84"/>
    <d v="2024-02-25T00:00:00"/>
    <d v="2024-07-07T00:00:00"/>
    <x v="2"/>
    <n v="133"/>
    <n v="4354.3599999999997"/>
    <s v="SENS0133"/>
    <d v="2024-07-02T00:00:00"/>
    <n v="13.768623"/>
    <n v="89.954054999999997"/>
    <n v="0.59"/>
    <x v="3"/>
    <n v="133"/>
    <s v="Medium"/>
    <s v="Medium Usage"/>
  </r>
  <r>
    <s v="FARM0134"/>
    <x v="1"/>
    <x v="0"/>
    <n v="14.06"/>
    <n v="7.38"/>
    <n v="17.829999999999998"/>
    <n v="127.97"/>
    <n v="62.77"/>
    <n v="5.24"/>
    <s v="None"/>
    <x v="1"/>
    <n v="26.43"/>
    <d v="2024-02-24T00:00:00"/>
    <d v="2024-07-07T00:00:00"/>
    <x v="2"/>
    <n v="134"/>
    <n v="3809.79"/>
    <s v="SENS0134"/>
    <d v="2024-03-12T00:00:00"/>
    <n v="17.506602000000001"/>
    <n v="86.203719000000007"/>
    <n v="0.37"/>
    <x v="3"/>
    <n v="134"/>
    <s v="Medium"/>
    <s v="Medium Usage"/>
  </r>
  <r>
    <s v="FARM0135"/>
    <x v="0"/>
    <x v="4"/>
    <n v="42.55"/>
    <n v="6.98"/>
    <n v="25.32"/>
    <n v="187.98"/>
    <n v="56.55"/>
    <n v="6.56"/>
    <s v="None"/>
    <x v="0"/>
    <n v="40.9"/>
    <d v="2024-03-06T00:00:00"/>
    <d v="2024-06-15T00:00:00"/>
    <x v="1"/>
    <n v="101"/>
    <n v="4561.92"/>
    <s v="SENS0135"/>
    <d v="2024-04-30T00:00:00"/>
    <n v="19.889558999999998"/>
    <n v="84.747766999999996"/>
    <n v="0.83"/>
    <x v="2"/>
    <n v="101"/>
    <s v="Medium"/>
    <s v="High Usage"/>
  </r>
  <r>
    <s v="FARM0136"/>
    <x v="3"/>
    <x v="3"/>
    <n v="23.61"/>
    <n v="6.91"/>
    <n v="19.12"/>
    <n v="238.08"/>
    <n v="80.44"/>
    <n v="4.38"/>
    <s v="Drip"/>
    <x v="2"/>
    <n v="13.41"/>
    <d v="2024-02-07T00:00:00"/>
    <d v="2024-06-05T00:00:00"/>
    <x v="1"/>
    <n v="119"/>
    <n v="2455.8200000000002"/>
    <s v="SENS0136"/>
    <d v="2024-05-02T00:00:00"/>
    <n v="31.565913999999999"/>
    <n v="80.554299999999998"/>
    <n v="0.68"/>
    <x v="2"/>
    <n v="119"/>
    <s v="Low"/>
    <s v="Low Usage"/>
  </r>
  <r>
    <s v="FARM0137"/>
    <x v="3"/>
    <x v="3"/>
    <n v="30.55"/>
    <n v="6.2"/>
    <n v="31.91"/>
    <n v="204.34"/>
    <n v="80.69"/>
    <n v="8.24"/>
    <s v="Manual"/>
    <x v="2"/>
    <n v="31.56"/>
    <d v="2024-03-05T00:00:00"/>
    <d v="2024-06-23T00:00:00"/>
    <x v="1"/>
    <n v="110"/>
    <n v="2471.4499999999998"/>
    <s v="SENS0137"/>
    <d v="2024-04-13T00:00:00"/>
    <n v="12.923723000000001"/>
    <n v="77.466121000000001"/>
    <n v="0.38"/>
    <x v="2"/>
    <n v="110"/>
    <s v="Low"/>
    <s v="Medium Usage"/>
  </r>
  <r>
    <s v="FARM0138"/>
    <x v="1"/>
    <x v="1"/>
    <n v="14.83"/>
    <n v="6.27"/>
    <n v="18.72"/>
    <n v="208.88"/>
    <n v="74.67"/>
    <n v="7.87"/>
    <s v="Sprinkler"/>
    <x v="2"/>
    <n v="12.51"/>
    <d v="2024-02-05T00:00:00"/>
    <d v="2024-05-16T00:00:00"/>
    <x v="0"/>
    <n v="101"/>
    <n v="3258.32"/>
    <s v="SENS0138"/>
    <d v="2024-04-02T00:00:00"/>
    <n v="25.485249"/>
    <n v="87.310445000000001"/>
    <n v="0.87"/>
    <x v="2"/>
    <n v="101"/>
    <s v="Medium"/>
    <s v="Low Usage"/>
  </r>
  <r>
    <s v="FARM0139"/>
    <x v="4"/>
    <x v="4"/>
    <n v="38.53"/>
    <n v="7.43"/>
    <n v="25.11"/>
    <n v="173.74"/>
    <n v="74.23"/>
    <n v="6.49"/>
    <s v="None"/>
    <x v="1"/>
    <n v="12.53"/>
    <d v="2024-03-01T00:00:00"/>
    <d v="2024-07-19T00:00:00"/>
    <x v="2"/>
    <n v="140"/>
    <n v="5044.2299999999996"/>
    <s v="SENS0139"/>
    <d v="2024-05-14T00:00:00"/>
    <n v="10.817377"/>
    <n v="74.496868000000006"/>
    <n v="0.47"/>
    <x v="2"/>
    <n v="140"/>
    <s v="Medium"/>
    <s v="Low Usage"/>
  </r>
  <r>
    <s v="FARM0140"/>
    <x v="3"/>
    <x v="3"/>
    <n v="29.24"/>
    <n v="5.73"/>
    <n v="17.28"/>
    <n v="243.78"/>
    <n v="81.16"/>
    <n v="6.2"/>
    <s v="Drip"/>
    <x v="2"/>
    <n v="24.86"/>
    <d v="2024-01-14T00:00:00"/>
    <d v="2024-04-19T00:00:00"/>
    <x v="3"/>
    <n v="96"/>
    <n v="4943.95"/>
    <s v="SENS0140"/>
    <d v="2024-04-06T00:00:00"/>
    <n v="28.783636999999999"/>
    <n v="75.954178999999996"/>
    <n v="0.9"/>
    <x v="2"/>
    <n v="96"/>
    <s v="Medium"/>
    <s v="Medium Usage"/>
  </r>
  <r>
    <s v="FARM0141"/>
    <x v="2"/>
    <x v="2"/>
    <n v="40.18"/>
    <n v="5.67"/>
    <n v="32.31"/>
    <n v="79.349999999999994"/>
    <n v="80.59"/>
    <n v="5.26"/>
    <s v="Manual"/>
    <x v="2"/>
    <n v="32.46"/>
    <d v="2024-02-06T00:00:00"/>
    <d v="2024-06-14T00:00:00"/>
    <x v="1"/>
    <n v="129"/>
    <n v="2556.94"/>
    <s v="SENS0141"/>
    <d v="2024-03-29T00:00:00"/>
    <n v="30.338246999999999"/>
    <n v="86.108810000000005"/>
    <n v="0.64"/>
    <x v="3"/>
    <n v="129"/>
    <s v="Low"/>
    <s v="Medium Usage"/>
  </r>
  <r>
    <s v="FARM0142"/>
    <x v="3"/>
    <x v="1"/>
    <n v="15.89"/>
    <n v="7.46"/>
    <n v="20.85"/>
    <n v="193.18"/>
    <n v="87.62"/>
    <n v="7.09"/>
    <s v="Drip"/>
    <x v="0"/>
    <n v="48.32"/>
    <d v="2024-02-02T00:00:00"/>
    <d v="2024-05-19T00:00:00"/>
    <x v="0"/>
    <n v="107"/>
    <n v="5468.19"/>
    <s v="SENS0142"/>
    <d v="2024-02-18T00:00:00"/>
    <n v="27.535663"/>
    <n v="72.653817000000004"/>
    <n v="0.39"/>
    <x v="3"/>
    <n v="107"/>
    <s v="High"/>
    <s v="High Usage"/>
  </r>
  <r>
    <s v="FARM0143"/>
    <x v="4"/>
    <x v="3"/>
    <n v="27.13"/>
    <n v="6.65"/>
    <n v="20.37"/>
    <n v="153.56"/>
    <n v="62.6"/>
    <n v="7.8"/>
    <s v="Drip"/>
    <x v="1"/>
    <n v="28.2"/>
    <d v="2024-02-23T00:00:00"/>
    <d v="2024-07-21T00:00:00"/>
    <x v="2"/>
    <n v="149"/>
    <n v="5509.27"/>
    <s v="SENS0143"/>
    <d v="2024-06-18T00:00:00"/>
    <n v="33.756352"/>
    <n v="76.545786000000007"/>
    <n v="0.3"/>
    <x v="1"/>
    <n v="149"/>
    <s v="High"/>
    <s v="Medium Usage"/>
  </r>
  <r>
    <s v="FARM0144"/>
    <x v="1"/>
    <x v="2"/>
    <n v="39.75"/>
    <n v="7.09"/>
    <n v="22.95"/>
    <n v="292.02999999999997"/>
    <n v="81.239999999999995"/>
    <n v="6.97"/>
    <s v="Manual"/>
    <x v="1"/>
    <n v="20.2"/>
    <d v="2024-03-05T00:00:00"/>
    <d v="2024-07-09T00:00:00"/>
    <x v="2"/>
    <n v="126"/>
    <n v="5409.69"/>
    <s v="SENS0144"/>
    <d v="2024-06-13T00:00:00"/>
    <n v="18.593491"/>
    <n v="83.651038999999997"/>
    <n v="0.33"/>
    <x v="1"/>
    <n v="126"/>
    <s v="High"/>
    <s v="Medium Usage"/>
  </r>
  <r>
    <s v="FARM0145"/>
    <x v="1"/>
    <x v="0"/>
    <n v="14.35"/>
    <n v="7.22"/>
    <n v="23.83"/>
    <n v="50.17"/>
    <n v="87.9"/>
    <n v="5.21"/>
    <s v="Sprinkler"/>
    <x v="2"/>
    <n v="18.579999999999998"/>
    <d v="2024-02-03T00:00:00"/>
    <d v="2024-06-13T00:00:00"/>
    <x v="1"/>
    <n v="131"/>
    <n v="3441.74"/>
    <s v="SENS0145"/>
    <d v="2024-02-24T00:00:00"/>
    <n v="19.296094"/>
    <n v="88.076004999999995"/>
    <n v="0.4"/>
    <x v="2"/>
    <n v="131"/>
    <s v="Medium"/>
    <s v="Medium Usage"/>
  </r>
  <r>
    <s v="FARM0146"/>
    <x v="2"/>
    <x v="4"/>
    <n v="25.02"/>
    <n v="5.68"/>
    <n v="16.899999999999999"/>
    <n v="103.36"/>
    <n v="43.9"/>
    <n v="7.56"/>
    <s v="None"/>
    <x v="0"/>
    <n v="5.36"/>
    <d v="2024-02-27T00:00:00"/>
    <d v="2024-06-03T00:00:00"/>
    <x v="1"/>
    <n v="97"/>
    <n v="5952.62"/>
    <s v="SENS0146"/>
    <d v="2024-04-21T00:00:00"/>
    <n v="27.350774999999999"/>
    <n v="79.554005000000004"/>
    <n v="0.44"/>
    <x v="1"/>
    <n v="97"/>
    <s v="High"/>
    <s v="Low Usage"/>
  </r>
  <r>
    <s v="FARM0147"/>
    <x v="0"/>
    <x v="0"/>
    <n v="20.97"/>
    <n v="7.26"/>
    <n v="17.739999999999998"/>
    <n v="243.37"/>
    <n v="77.66"/>
    <n v="4.8"/>
    <s v="Sprinkler"/>
    <x v="0"/>
    <n v="28.87"/>
    <d v="2024-01-20T00:00:00"/>
    <d v="2024-05-30T00:00:00"/>
    <x v="0"/>
    <n v="131"/>
    <n v="2656.47"/>
    <s v="SENS0147"/>
    <d v="2024-04-18T00:00:00"/>
    <n v="28.060801000000001"/>
    <n v="82.561600999999996"/>
    <n v="0.39"/>
    <x v="2"/>
    <n v="131"/>
    <s v="Low"/>
    <s v="Medium Usage"/>
  </r>
  <r>
    <s v="FARM0148"/>
    <x v="3"/>
    <x v="3"/>
    <n v="40.1"/>
    <n v="5.67"/>
    <n v="17.010000000000002"/>
    <n v="238.11"/>
    <n v="69.48"/>
    <n v="6.3"/>
    <s v="None"/>
    <x v="1"/>
    <n v="40.6"/>
    <d v="2024-01-09T00:00:00"/>
    <d v="2024-05-19T00:00:00"/>
    <x v="0"/>
    <n v="131"/>
    <n v="2336.9899999999998"/>
    <s v="SENS0148"/>
    <d v="2024-03-21T00:00:00"/>
    <n v="29.474240999999999"/>
    <n v="83.809522000000001"/>
    <n v="0.81"/>
    <x v="3"/>
    <n v="131"/>
    <s v="Low"/>
    <s v="High Usage"/>
  </r>
  <r>
    <s v="FARM0149"/>
    <x v="4"/>
    <x v="1"/>
    <n v="31.24"/>
    <n v="5.88"/>
    <n v="22.84"/>
    <n v="211.54"/>
    <n v="79.19"/>
    <n v="8.76"/>
    <s v="Sprinkler"/>
    <x v="1"/>
    <n v="22.36"/>
    <d v="2024-01-16T00:00:00"/>
    <d v="2024-05-25T00:00:00"/>
    <x v="0"/>
    <n v="130"/>
    <n v="4375.72"/>
    <s v="SENS0149"/>
    <d v="2024-01-19T00:00:00"/>
    <n v="34.672063000000001"/>
    <n v="88.678488000000002"/>
    <n v="0.38"/>
    <x v="2"/>
    <n v="130"/>
    <s v="Medium"/>
    <s v="Medium Usage"/>
  </r>
  <r>
    <s v="FARM0150"/>
    <x v="2"/>
    <x v="1"/>
    <n v="33.9"/>
    <n v="7.03"/>
    <n v="34.090000000000003"/>
    <n v="242.59"/>
    <n v="40.83"/>
    <n v="4.41"/>
    <s v="Manual"/>
    <x v="0"/>
    <n v="6.79"/>
    <d v="2024-01-26T00:00:00"/>
    <d v="2024-05-20T00:00:00"/>
    <x v="0"/>
    <n v="115"/>
    <n v="4026.44"/>
    <s v="SENS0150"/>
    <d v="2024-04-15T00:00:00"/>
    <n v="27.815726999999999"/>
    <n v="85.342200000000005"/>
    <n v="0.55000000000000004"/>
    <x v="2"/>
    <n v="115"/>
    <s v="Medium"/>
    <s v="Low Usage"/>
  </r>
  <r>
    <s v="FARM0151"/>
    <x v="0"/>
    <x v="1"/>
    <n v="28.82"/>
    <n v="5.81"/>
    <n v="16.670000000000002"/>
    <n v="69.760000000000005"/>
    <n v="86.05"/>
    <n v="9.85"/>
    <s v="Sprinkler"/>
    <x v="2"/>
    <n v="19.7"/>
    <d v="2024-03-21T00:00:00"/>
    <d v="2024-08-06T00:00:00"/>
    <x v="4"/>
    <n v="138"/>
    <n v="5338.11"/>
    <s v="SENS0151"/>
    <d v="2024-04-06T00:00:00"/>
    <n v="17.754237"/>
    <n v="78.749720999999994"/>
    <n v="0.87"/>
    <x v="0"/>
    <n v="138"/>
    <s v="High"/>
    <s v="Medium Usage"/>
  </r>
  <r>
    <s v="FARM0152"/>
    <x v="0"/>
    <x v="4"/>
    <n v="13.02"/>
    <n v="6.37"/>
    <n v="24.07"/>
    <n v="202.21"/>
    <n v="55.46"/>
    <n v="8.4499999999999993"/>
    <s v="Sprinkler"/>
    <x v="0"/>
    <n v="5.57"/>
    <d v="2024-01-23T00:00:00"/>
    <d v="2024-04-22T00:00:00"/>
    <x v="3"/>
    <n v="90"/>
    <n v="2655.33"/>
    <s v="SENS0152"/>
    <d v="2024-03-07T00:00:00"/>
    <n v="23.075133999999998"/>
    <n v="85.659741999999994"/>
    <n v="0.73"/>
    <x v="0"/>
    <n v="90"/>
    <s v="Low"/>
    <s v="Low Usage"/>
  </r>
  <r>
    <s v="FARM0153"/>
    <x v="2"/>
    <x v="4"/>
    <n v="36.24"/>
    <n v="7.25"/>
    <n v="29.66"/>
    <n v="79.510000000000005"/>
    <n v="84.99"/>
    <n v="6.01"/>
    <s v="None"/>
    <x v="1"/>
    <n v="28.57"/>
    <d v="2024-02-23T00:00:00"/>
    <d v="2024-06-28T00:00:00"/>
    <x v="1"/>
    <n v="126"/>
    <n v="4510.13"/>
    <s v="SENS0153"/>
    <d v="2024-04-26T00:00:00"/>
    <n v="21.379943999999998"/>
    <n v="77.202477999999999"/>
    <n v="0.6"/>
    <x v="0"/>
    <n v="126"/>
    <s v="Medium"/>
    <s v="Medium Usage"/>
  </r>
  <r>
    <s v="FARM0154"/>
    <x v="2"/>
    <x v="4"/>
    <n v="18.93"/>
    <n v="5.71"/>
    <n v="26.48"/>
    <n v="230.69"/>
    <n v="51.42"/>
    <n v="7.05"/>
    <s v="Drip"/>
    <x v="0"/>
    <n v="16"/>
    <d v="2024-02-12T00:00:00"/>
    <d v="2024-06-05T00:00:00"/>
    <x v="1"/>
    <n v="114"/>
    <n v="5680.91"/>
    <s v="SENS0154"/>
    <d v="2024-03-05T00:00:00"/>
    <n v="33.279001999999998"/>
    <n v="87.149704"/>
    <n v="0.63"/>
    <x v="2"/>
    <n v="114"/>
    <s v="High"/>
    <s v="Medium Usage"/>
  </r>
  <r>
    <s v="FARM0155"/>
    <x v="4"/>
    <x v="2"/>
    <n v="18.690000000000001"/>
    <n v="7.33"/>
    <n v="21.4"/>
    <n v="256.5"/>
    <n v="68.58"/>
    <n v="4.72"/>
    <s v="Drip"/>
    <x v="0"/>
    <n v="15.04"/>
    <d v="2024-03-02T00:00:00"/>
    <d v="2024-06-25T00:00:00"/>
    <x v="1"/>
    <n v="115"/>
    <n v="2275.71"/>
    <s v="SENS0155"/>
    <d v="2024-04-30T00:00:00"/>
    <n v="31.650805999999999"/>
    <n v="85.470550000000003"/>
    <n v="0.49"/>
    <x v="1"/>
    <n v="115"/>
    <s v="Low"/>
    <s v="Medium Usage"/>
  </r>
  <r>
    <s v="FARM0156"/>
    <x v="3"/>
    <x v="3"/>
    <n v="10.28"/>
    <n v="5.9"/>
    <n v="26.28"/>
    <n v="125.98"/>
    <n v="71.14"/>
    <n v="6.78"/>
    <s v="None"/>
    <x v="0"/>
    <n v="37.96"/>
    <d v="2024-03-25T00:00:00"/>
    <d v="2024-08-12T00:00:00"/>
    <x v="4"/>
    <n v="140"/>
    <n v="2980.51"/>
    <s v="SENS0156"/>
    <d v="2024-03-26T00:00:00"/>
    <n v="33.309938000000002"/>
    <n v="70.478205000000003"/>
    <n v="0.62"/>
    <x v="1"/>
    <n v="140"/>
    <s v="Low"/>
    <s v="Medium Usage"/>
  </r>
  <r>
    <s v="FARM0157"/>
    <x v="2"/>
    <x v="0"/>
    <n v="36.56"/>
    <n v="6.25"/>
    <n v="29.76"/>
    <n v="126.88"/>
    <n v="50.26"/>
    <n v="9.9"/>
    <s v="None"/>
    <x v="1"/>
    <n v="48.25"/>
    <d v="2024-01-23T00:00:00"/>
    <d v="2024-05-09T00:00:00"/>
    <x v="0"/>
    <n v="107"/>
    <n v="2372.11"/>
    <s v="SENS0157"/>
    <d v="2024-02-21T00:00:00"/>
    <n v="32.432186999999999"/>
    <n v="80.395184"/>
    <n v="0.72"/>
    <x v="3"/>
    <n v="107"/>
    <s v="Low"/>
    <s v="High Usage"/>
  </r>
  <r>
    <s v="FARM0158"/>
    <x v="1"/>
    <x v="0"/>
    <n v="30.33"/>
    <n v="6.51"/>
    <n v="27.74"/>
    <n v="148.59"/>
    <n v="69.59"/>
    <n v="4.37"/>
    <s v="Sprinkler"/>
    <x v="0"/>
    <n v="18.13"/>
    <d v="2024-02-26T00:00:00"/>
    <d v="2024-06-20T00:00:00"/>
    <x v="1"/>
    <n v="115"/>
    <n v="4802.8999999999996"/>
    <s v="SENS0158"/>
    <d v="2024-05-30T00:00:00"/>
    <n v="18.156289000000001"/>
    <n v="79.055156999999994"/>
    <n v="0.44"/>
    <x v="0"/>
    <n v="115"/>
    <s v="Medium"/>
    <s v="Medium Usage"/>
  </r>
  <r>
    <s v="FARM0159"/>
    <x v="4"/>
    <x v="1"/>
    <n v="13.81"/>
    <n v="5.71"/>
    <n v="23.99"/>
    <n v="128.51"/>
    <n v="46.04"/>
    <n v="6.15"/>
    <s v="Sprinkler"/>
    <x v="1"/>
    <n v="18.87"/>
    <d v="2024-02-28T00:00:00"/>
    <d v="2024-06-04T00:00:00"/>
    <x v="1"/>
    <n v="97"/>
    <n v="2361.6799999999998"/>
    <s v="SENS0159"/>
    <d v="2024-05-25T00:00:00"/>
    <n v="17.605374999999999"/>
    <n v="84.094095999999993"/>
    <n v="0.66"/>
    <x v="0"/>
    <n v="97"/>
    <s v="Low"/>
    <s v="Medium Usage"/>
  </r>
  <r>
    <s v="FARM0160"/>
    <x v="2"/>
    <x v="4"/>
    <n v="13.19"/>
    <n v="6"/>
    <n v="22.11"/>
    <n v="178.36"/>
    <n v="73.86"/>
    <n v="5.56"/>
    <s v="Sprinkler"/>
    <x v="0"/>
    <n v="47.84"/>
    <d v="2024-02-18T00:00:00"/>
    <d v="2024-07-04T00:00:00"/>
    <x v="2"/>
    <n v="137"/>
    <n v="4200.4799999999996"/>
    <s v="SENS0160"/>
    <d v="2024-03-13T00:00:00"/>
    <n v="21.551081"/>
    <n v="86.077934999999997"/>
    <n v="0.38"/>
    <x v="1"/>
    <n v="137"/>
    <s v="Medium"/>
    <s v="High Usage"/>
  </r>
  <r>
    <s v="FARM0161"/>
    <x v="0"/>
    <x v="4"/>
    <n v="14.58"/>
    <n v="7.15"/>
    <n v="22.44"/>
    <n v="207.57"/>
    <n v="72.23"/>
    <n v="7.49"/>
    <s v="Manual"/>
    <x v="0"/>
    <n v="5.98"/>
    <d v="2024-01-07T00:00:00"/>
    <d v="2024-06-02T00:00:00"/>
    <x v="1"/>
    <n v="147"/>
    <n v="4583.95"/>
    <s v="SENS0161"/>
    <d v="2024-02-08T00:00:00"/>
    <n v="12.299466000000001"/>
    <n v="86.945509000000001"/>
    <n v="0.79"/>
    <x v="1"/>
    <n v="147"/>
    <s v="Medium"/>
    <s v="Low Usage"/>
  </r>
  <r>
    <s v="FARM0162"/>
    <x v="0"/>
    <x v="3"/>
    <n v="11.77"/>
    <n v="7.35"/>
    <n v="23.66"/>
    <n v="231.11"/>
    <n v="64.81"/>
    <n v="6.3"/>
    <s v="None"/>
    <x v="0"/>
    <n v="20.93"/>
    <d v="2024-01-09T00:00:00"/>
    <d v="2024-04-25T00:00:00"/>
    <x v="3"/>
    <n v="107"/>
    <n v="3784.05"/>
    <s v="SENS0162"/>
    <d v="2024-01-28T00:00:00"/>
    <n v="10.866236000000001"/>
    <n v="82.383531000000005"/>
    <n v="0.45"/>
    <x v="3"/>
    <n v="107"/>
    <s v="Medium"/>
    <s v="Medium Usage"/>
  </r>
  <r>
    <s v="FARM0163"/>
    <x v="1"/>
    <x v="3"/>
    <n v="40.9"/>
    <n v="6.46"/>
    <n v="16.75"/>
    <n v="145.75"/>
    <n v="60.96"/>
    <n v="7.86"/>
    <s v="Sprinkler"/>
    <x v="2"/>
    <n v="49.73"/>
    <d v="2024-03-26T00:00:00"/>
    <d v="2024-06-25T00:00:00"/>
    <x v="1"/>
    <n v="91"/>
    <n v="5957.61"/>
    <s v="SENS0163"/>
    <d v="2024-06-25T00:00:00"/>
    <n v="18.977803000000002"/>
    <n v="80.890355999999997"/>
    <n v="0.59"/>
    <x v="3"/>
    <n v="91"/>
    <s v="High"/>
    <s v="High Usage"/>
  </r>
  <r>
    <s v="FARM0164"/>
    <x v="1"/>
    <x v="2"/>
    <n v="16.29"/>
    <n v="6.14"/>
    <n v="19.38"/>
    <n v="273.94"/>
    <n v="78.930000000000007"/>
    <n v="4.3499999999999996"/>
    <s v="None"/>
    <x v="2"/>
    <n v="21.08"/>
    <d v="2024-03-08T00:00:00"/>
    <d v="2024-06-16T00:00:00"/>
    <x v="1"/>
    <n v="100"/>
    <n v="2400.54"/>
    <s v="SENS0164"/>
    <d v="2024-05-31T00:00:00"/>
    <n v="16.02882"/>
    <n v="80.673790999999994"/>
    <n v="0.77"/>
    <x v="1"/>
    <n v="100"/>
    <s v="Low"/>
    <s v="Medium Usage"/>
  </r>
  <r>
    <s v="FARM0165"/>
    <x v="4"/>
    <x v="1"/>
    <n v="39.630000000000003"/>
    <n v="7.09"/>
    <n v="22.1"/>
    <n v="259.81"/>
    <n v="82.26"/>
    <n v="5.0599999999999996"/>
    <s v="Manual"/>
    <x v="2"/>
    <n v="36.39"/>
    <d v="2024-03-01T00:00:00"/>
    <d v="2024-07-14T00:00:00"/>
    <x v="2"/>
    <n v="135"/>
    <n v="4802.24"/>
    <s v="SENS0165"/>
    <d v="2024-04-06T00:00:00"/>
    <n v="24.077722000000001"/>
    <n v="73.764673000000002"/>
    <n v="0.89"/>
    <x v="2"/>
    <n v="135"/>
    <s v="Medium"/>
    <s v="Medium Usage"/>
  </r>
  <r>
    <s v="FARM0166"/>
    <x v="3"/>
    <x v="2"/>
    <n v="16.14"/>
    <n v="5.58"/>
    <n v="16.12"/>
    <n v="200.42"/>
    <n v="41"/>
    <n v="6.87"/>
    <s v="Manual"/>
    <x v="2"/>
    <n v="14.07"/>
    <d v="2024-01-11T00:00:00"/>
    <d v="2024-05-25T00:00:00"/>
    <x v="0"/>
    <n v="135"/>
    <n v="2709.84"/>
    <s v="SENS0166"/>
    <d v="2024-04-02T00:00:00"/>
    <n v="11.488899"/>
    <n v="72.954239999999999"/>
    <n v="0.72"/>
    <x v="0"/>
    <n v="135"/>
    <s v="Low"/>
    <s v="Low Usage"/>
  </r>
  <r>
    <s v="FARM0167"/>
    <x v="0"/>
    <x v="1"/>
    <n v="40.119999999999997"/>
    <n v="7.42"/>
    <n v="22.47"/>
    <n v="285.48"/>
    <n v="59.78"/>
    <n v="4.6100000000000003"/>
    <s v="Manual"/>
    <x v="1"/>
    <n v="11.14"/>
    <d v="2024-01-24T00:00:00"/>
    <d v="2024-06-22T00:00:00"/>
    <x v="1"/>
    <n v="150"/>
    <n v="3747.47"/>
    <s v="SENS0167"/>
    <d v="2024-05-27T00:00:00"/>
    <n v="26.229507000000002"/>
    <n v="73.484053000000003"/>
    <n v="0.88"/>
    <x v="3"/>
    <n v="150"/>
    <s v="Medium"/>
    <s v="Low Usage"/>
  </r>
  <r>
    <s v="FARM0168"/>
    <x v="4"/>
    <x v="1"/>
    <n v="38.51"/>
    <n v="6.26"/>
    <n v="29.68"/>
    <n v="123.63"/>
    <n v="48.89"/>
    <n v="4.01"/>
    <s v="None"/>
    <x v="2"/>
    <n v="6.46"/>
    <d v="2024-03-11T00:00:00"/>
    <d v="2024-08-06T00:00:00"/>
    <x v="4"/>
    <n v="148"/>
    <n v="5235.2299999999996"/>
    <s v="SENS0168"/>
    <d v="2024-05-06T00:00:00"/>
    <n v="25.991168999999999"/>
    <n v="72.082205000000002"/>
    <n v="0.6"/>
    <x v="3"/>
    <n v="148"/>
    <s v="High"/>
    <s v="Low Usage"/>
  </r>
  <r>
    <s v="FARM0169"/>
    <x v="0"/>
    <x v="4"/>
    <n v="22.14"/>
    <n v="6.14"/>
    <n v="27.72"/>
    <n v="290.77"/>
    <n v="81.08"/>
    <n v="8.02"/>
    <s v="Manual"/>
    <x v="1"/>
    <n v="5.51"/>
    <d v="2024-01-08T00:00:00"/>
    <d v="2024-05-21T00:00:00"/>
    <x v="0"/>
    <n v="134"/>
    <n v="2271.1799999999998"/>
    <s v="SENS0169"/>
    <d v="2024-03-13T00:00:00"/>
    <n v="29.6755"/>
    <n v="84.408271999999997"/>
    <n v="0.33"/>
    <x v="2"/>
    <n v="134"/>
    <s v="Low"/>
    <s v="Low Usage"/>
  </r>
  <r>
    <s v="FARM0170"/>
    <x v="1"/>
    <x v="4"/>
    <n v="40.96"/>
    <n v="6.49"/>
    <n v="22.57"/>
    <n v="186.51"/>
    <n v="45.07"/>
    <n v="6.88"/>
    <s v="Sprinkler"/>
    <x v="0"/>
    <n v="25.31"/>
    <d v="2024-01-10T00:00:00"/>
    <d v="2024-04-10T00:00:00"/>
    <x v="3"/>
    <n v="91"/>
    <n v="3274.87"/>
    <s v="SENS0170"/>
    <d v="2024-01-23T00:00:00"/>
    <n v="11.85501"/>
    <n v="73.402103999999994"/>
    <n v="0.53"/>
    <x v="1"/>
    <n v="91"/>
    <s v="Medium"/>
    <s v="Medium Usage"/>
  </r>
  <r>
    <s v="FARM0171"/>
    <x v="3"/>
    <x v="0"/>
    <n v="21.83"/>
    <n v="7.47"/>
    <n v="32.86"/>
    <n v="226.13"/>
    <n v="61.57"/>
    <n v="7.92"/>
    <s v="None"/>
    <x v="0"/>
    <n v="7.41"/>
    <d v="2024-02-07T00:00:00"/>
    <d v="2024-05-19T00:00:00"/>
    <x v="0"/>
    <n v="102"/>
    <n v="3637.12"/>
    <s v="SENS0171"/>
    <d v="2024-04-17T00:00:00"/>
    <n v="28.050953"/>
    <n v="84.59948"/>
    <n v="0.46"/>
    <x v="3"/>
    <n v="102"/>
    <s v="Medium"/>
    <s v="Low Usage"/>
  </r>
  <r>
    <s v="FARM0172"/>
    <x v="2"/>
    <x v="4"/>
    <n v="13.36"/>
    <n v="6.29"/>
    <n v="25.99"/>
    <n v="172.74"/>
    <n v="42.73"/>
    <n v="4.0199999999999996"/>
    <s v="Drip"/>
    <x v="1"/>
    <n v="42.08"/>
    <d v="2024-03-20T00:00:00"/>
    <d v="2024-07-18T00:00:00"/>
    <x v="2"/>
    <n v="120"/>
    <n v="2798.7"/>
    <s v="SENS0172"/>
    <d v="2024-03-23T00:00:00"/>
    <n v="15.173825000000001"/>
    <n v="82.763812999999999"/>
    <n v="0.89"/>
    <x v="2"/>
    <n v="120"/>
    <s v="Low"/>
    <s v="High Usage"/>
  </r>
  <r>
    <s v="FARM0173"/>
    <x v="0"/>
    <x v="2"/>
    <n v="37.47"/>
    <n v="6.44"/>
    <n v="32.9"/>
    <n v="116.25"/>
    <n v="72.09"/>
    <n v="6.33"/>
    <s v="Manual"/>
    <x v="1"/>
    <n v="21.62"/>
    <d v="2024-02-02T00:00:00"/>
    <d v="2024-05-18T00:00:00"/>
    <x v="0"/>
    <n v="106"/>
    <n v="3758.96"/>
    <s v="SENS0173"/>
    <d v="2024-03-06T00:00:00"/>
    <n v="15.656057000000001"/>
    <n v="75.37124"/>
    <n v="0.34"/>
    <x v="1"/>
    <n v="106"/>
    <s v="Medium"/>
    <s v="Medium Usage"/>
  </r>
  <r>
    <s v="FARM0174"/>
    <x v="0"/>
    <x v="2"/>
    <n v="38.29"/>
    <n v="6.33"/>
    <n v="30.13"/>
    <n v="106.88"/>
    <n v="43.05"/>
    <n v="6.32"/>
    <s v="None"/>
    <x v="2"/>
    <n v="35.92"/>
    <d v="2024-02-19T00:00:00"/>
    <d v="2024-07-14T00:00:00"/>
    <x v="2"/>
    <n v="146"/>
    <n v="2942.57"/>
    <s v="SENS0174"/>
    <d v="2024-05-05T00:00:00"/>
    <n v="11.973876000000001"/>
    <n v="88.055543999999998"/>
    <n v="0.73"/>
    <x v="0"/>
    <n v="146"/>
    <s v="Low"/>
    <s v="Medium Usage"/>
  </r>
  <r>
    <s v="FARM0175"/>
    <x v="0"/>
    <x v="3"/>
    <n v="16.05"/>
    <n v="7.47"/>
    <n v="34.44"/>
    <n v="252.12"/>
    <n v="46.31"/>
    <n v="6.54"/>
    <s v="None"/>
    <x v="0"/>
    <n v="49.88"/>
    <d v="2024-03-05T00:00:00"/>
    <d v="2024-07-26T00:00:00"/>
    <x v="2"/>
    <n v="143"/>
    <n v="4380.1899999999996"/>
    <s v="SENS0175"/>
    <d v="2024-05-25T00:00:00"/>
    <n v="32.770111999999997"/>
    <n v="88.283479"/>
    <n v="0.34"/>
    <x v="2"/>
    <n v="143"/>
    <s v="Medium"/>
    <s v="High Usage"/>
  </r>
  <r>
    <s v="FARM0176"/>
    <x v="3"/>
    <x v="3"/>
    <n v="29.32"/>
    <n v="7.21"/>
    <n v="25.39"/>
    <n v="279.29000000000002"/>
    <n v="40.619999999999997"/>
    <n v="8.1999999999999993"/>
    <s v="None"/>
    <x v="0"/>
    <n v="23.65"/>
    <d v="2024-01-19T00:00:00"/>
    <d v="2024-05-25T00:00:00"/>
    <x v="0"/>
    <n v="127"/>
    <n v="4330.71"/>
    <s v="SENS0176"/>
    <d v="2024-02-13T00:00:00"/>
    <n v="33.123204000000001"/>
    <n v="81.253675000000001"/>
    <n v="0.36"/>
    <x v="3"/>
    <n v="127"/>
    <s v="Medium"/>
    <s v="Medium Usage"/>
  </r>
  <r>
    <s v="FARM0177"/>
    <x v="3"/>
    <x v="2"/>
    <n v="40.729999999999997"/>
    <n v="6.03"/>
    <n v="28.1"/>
    <n v="193.01"/>
    <n v="63.65"/>
    <n v="5.03"/>
    <s v="None"/>
    <x v="0"/>
    <n v="32.82"/>
    <d v="2024-03-23T00:00:00"/>
    <d v="2024-07-16T00:00:00"/>
    <x v="2"/>
    <n v="115"/>
    <n v="2155.13"/>
    <s v="SENS0177"/>
    <d v="2024-07-14T00:00:00"/>
    <n v="31.973941"/>
    <n v="83.810275000000004"/>
    <n v="0.33"/>
    <x v="2"/>
    <n v="115"/>
    <s v="Low"/>
    <s v="Medium Usage"/>
  </r>
  <r>
    <s v="FARM0178"/>
    <x v="2"/>
    <x v="2"/>
    <n v="10.71"/>
    <n v="7.13"/>
    <n v="21.06"/>
    <n v="120.09"/>
    <n v="64.58"/>
    <n v="8.18"/>
    <s v="Drip"/>
    <x v="0"/>
    <n v="11.05"/>
    <d v="2024-03-15T00:00:00"/>
    <d v="2024-08-01T00:00:00"/>
    <x v="4"/>
    <n v="139"/>
    <n v="5303.29"/>
    <s v="SENS0178"/>
    <d v="2024-05-22T00:00:00"/>
    <n v="28.219985000000001"/>
    <n v="82.099582999999996"/>
    <n v="0.35"/>
    <x v="2"/>
    <n v="139"/>
    <s v="High"/>
    <s v="Low Usage"/>
  </r>
  <r>
    <s v="FARM0179"/>
    <x v="4"/>
    <x v="3"/>
    <n v="35.93"/>
    <n v="7.02"/>
    <n v="32.340000000000003"/>
    <n v="255.25"/>
    <n v="65.760000000000005"/>
    <n v="4.95"/>
    <s v="Manual"/>
    <x v="2"/>
    <n v="27.81"/>
    <d v="2024-01-25T00:00:00"/>
    <d v="2024-06-17T00:00:00"/>
    <x v="1"/>
    <n v="144"/>
    <n v="4097.1400000000003"/>
    <s v="SENS0179"/>
    <d v="2024-02-01T00:00:00"/>
    <n v="14.343434"/>
    <n v="87.503611000000006"/>
    <n v="0.42"/>
    <x v="1"/>
    <n v="144"/>
    <s v="Medium"/>
    <s v="Medium Usage"/>
  </r>
  <r>
    <s v="FARM0180"/>
    <x v="4"/>
    <x v="0"/>
    <n v="25.98"/>
    <n v="7.34"/>
    <n v="29.09"/>
    <n v="118.49"/>
    <n v="81.180000000000007"/>
    <n v="7.03"/>
    <s v="Drip"/>
    <x v="2"/>
    <n v="6.38"/>
    <d v="2024-02-16T00:00:00"/>
    <d v="2024-06-23T00:00:00"/>
    <x v="1"/>
    <n v="128"/>
    <n v="3784.41"/>
    <s v="SENS0180"/>
    <d v="2024-06-16T00:00:00"/>
    <n v="24.672006"/>
    <n v="76.995198000000002"/>
    <n v="0.4"/>
    <x v="3"/>
    <n v="128"/>
    <s v="Medium"/>
    <s v="Low Usage"/>
  </r>
  <r>
    <s v="FARM0181"/>
    <x v="0"/>
    <x v="2"/>
    <n v="10.96"/>
    <n v="5.6"/>
    <n v="32.08"/>
    <n v="244.96"/>
    <n v="50.72"/>
    <n v="5.33"/>
    <s v="Sprinkler"/>
    <x v="2"/>
    <n v="14.3"/>
    <d v="2024-03-14T00:00:00"/>
    <d v="2024-07-14T00:00:00"/>
    <x v="2"/>
    <n v="122"/>
    <n v="2080.21"/>
    <s v="SENS0181"/>
    <d v="2024-06-21T00:00:00"/>
    <n v="34.178458999999997"/>
    <n v="83.643995000000004"/>
    <n v="0.57999999999999996"/>
    <x v="0"/>
    <n v="122"/>
    <s v="Low"/>
    <s v="Low Usage"/>
  </r>
  <r>
    <s v="FARM0182"/>
    <x v="4"/>
    <x v="1"/>
    <n v="38.03"/>
    <n v="5.95"/>
    <n v="27.17"/>
    <n v="285.75"/>
    <n v="75.64"/>
    <n v="8.26"/>
    <s v="Manual"/>
    <x v="1"/>
    <n v="45.3"/>
    <d v="2024-02-15T00:00:00"/>
    <d v="2024-05-31T00:00:00"/>
    <x v="0"/>
    <n v="106"/>
    <n v="2872.84"/>
    <s v="SENS0182"/>
    <d v="2024-03-24T00:00:00"/>
    <n v="26.929904000000001"/>
    <n v="86.486215999999999"/>
    <n v="0.54"/>
    <x v="1"/>
    <n v="106"/>
    <s v="Low"/>
    <s v="High Usage"/>
  </r>
  <r>
    <s v="FARM0183"/>
    <x v="0"/>
    <x v="1"/>
    <n v="44.98"/>
    <n v="7.43"/>
    <n v="31.79"/>
    <n v="190.36"/>
    <n v="69.69"/>
    <n v="5.7"/>
    <s v="Drip"/>
    <x v="1"/>
    <n v="7.87"/>
    <d v="2024-02-21T00:00:00"/>
    <d v="2024-06-10T00:00:00"/>
    <x v="1"/>
    <n v="110"/>
    <n v="5445.97"/>
    <s v="SENS0183"/>
    <d v="2024-03-25T00:00:00"/>
    <n v="26.402989999999999"/>
    <n v="89.043756000000002"/>
    <n v="0.69"/>
    <x v="0"/>
    <n v="110"/>
    <s v="High"/>
    <s v="Low Usage"/>
  </r>
  <r>
    <s v="FARM0184"/>
    <x v="4"/>
    <x v="1"/>
    <n v="36.79"/>
    <n v="7.3"/>
    <n v="31.11"/>
    <n v="250.59"/>
    <n v="70"/>
    <n v="7.96"/>
    <s v="Sprinkler"/>
    <x v="2"/>
    <n v="6.15"/>
    <d v="2024-02-10T00:00:00"/>
    <d v="2024-05-26T00:00:00"/>
    <x v="0"/>
    <n v="106"/>
    <n v="5627.65"/>
    <s v="SENS0184"/>
    <d v="2024-04-01T00:00:00"/>
    <n v="19.706873000000002"/>
    <n v="70.706379999999996"/>
    <n v="0.72"/>
    <x v="0"/>
    <n v="106"/>
    <s v="High"/>
    <s v="Low Usage"/>
  </r>
  <r>
    <s v="FARM0185"/>
    <x v="2"/>
    <x v="4"/>
    <n v="34.020000000000003"/>
    <n v="6.78"/>
    <n v="24.51"/>
    <n v="285.17"/>
    <n v="57.92"/>
    <n v="5.8"/>
    <s v="Sprinkler"/>
    <x v="2"/>
    <n v="44.44"/>
    <d v="2024-01-10T00:00:00"/>
    <d v="2024-04-15T00:00:00"/>
    <x v="3"/>
    <n v="96"/>
    <n v="3883.12"/>
    <s v="SENS0185"/>
    <d v="2024-04-13T00:00:00"/>
    <n v="16.466296"/>
    <n v="86.166876999999999"/>
    <n v="0.76"/>
    <x v="0"/>
    <n v="96"/>
    <s v="Medium"/>
    <s v="High Usage"/>
  </r>
  <r>
    <s v="FARM0186"/>
    <x v="2"/>
    <x v="0"/>
    <n v="17.78"/>
    <n v="5.95"/>
    <n v="32.43"/>
    <n v="155.12"/>
    <n v="84.34"/>
    <n v="6.23"/>
    <s v="Manual"/>
    <x v="1"/>
    <n v="43.3"/>
    <d v="2024-02-02T00:00:00"/>
    <d v="2024-06-26T00:00:00"/>
    <x v="1"/>
    <n v="145"/>
    <n v="4537.59"/>
    <s v="SENS0186"/>
    <d v="2024-02-20T00:00:00"/>
    <n v="21.805492000000001"/>
    <n v="73.890876000000006"/>
    <n v="0.37"/>
    <x v="2"/>
    <n v="145"/>
    <s v="Medium"/>
    <s v="High Usage"/>
  </r>
  <r>
    <s v="FARM0187"/>
    <x v="3"/>
    <x v="2"/>
    <n v="24.46"/>
    <n v="7.24"/>
    <n v="18.02"/>
    <n v="298.08999999999997"/>
    <n v="57.13"/>
    <n v="9.92"/>
    <s v="None"/>
    <x v="0"/>
    <n v="19.239999999999998"/>
    <d v="2024-03-06T00:00:00"/>
    <d v="2024-07-23T00:00:00"/>
    <x v="2"/>
    <n v="139"/>
    <n v="2323.25"/>
    <s v="SENS0187"/>
    <d v="2024-05-30T00:00:00"/>
    <n v="25.775818999999998"/>
    <n v="73.536484999999999"/>
    <n v="0.68"/>
    <x v="1"/>
    <n v="139"/>
    <s v="Low"/>
    <s v="Medium Usage"/>
  </r>
  <r>
    <s v="FARM0188"/>
    <x v="1"/>
    <x v="2"/>
    <n v="17.329999999999998"/>
    <n v="7.05"/>
    <n v="26.53"/>
    <n v="89.61"/>
    <n v="79.260000000000005"/>
    <n v="8.68"/>
    <s v="Sprinkler"/>
    <x v="2"/>
    <n v="24.52"/>
    <d v="2024-02-13T00:00:00"/>
    <d v="2024-06-09T00:00:00"/>
    <x v="1"/>
    <n v="117"/>
    <n v="5861.31"/>
    <s v="SENS0188"/>
    <d v="2024-04-02T00:00:00"/>
    <n v="10.116728"/>
    <n v="80.675651999999999"/>
    <n v="0.74"/>
    <x v="1"/>
    <n v="117"/>
    <s v="High"/>
    <s v="Medium Usage"/>
  </r>
  <r>
    <s v="FARM0189"/>
    <x v="2"/>
    <x v="1"/>
    <n v="16.670000000000002"/>
    <n v="6.85"/>
    <n v="27.53"/>
    <n v="112.21"/>
    <n v="74.680000000000007"/>
    <n v="6.07"/>
    <s v="Sprinkler"/>
    <x v="0"/>
    <n v="22.26"/>
    <d v="2024-03-10T00:00:00"/>
    <d v="2024-06-18T00:00:00"/>
    <x v="1"/>
    <n v="100"/>
    <n v="2261.15"/>
    <s v="SENS0189"/>
    <d v="2024-03-15T00:00:00"/>
    <n v="17.455055999999999"/>
    <n v="75.816556000000006"/>
    <n v="0.74"/>
    <x v="3"/>
    <n v="100"/>
    <s v="Low"/>
    <s v="Medium Usage"/>
  </r>
  <r>
    <s v="FARM0190"/>
    <x v="1"/>
    <x v="4"/>
    <n v="22"/>
    <n v="7.3"/>
    <n v="22.19"/>
    <n v="97.11"/>
    <n v="87.4"/>
    <n v="9.51"/>
    <s v="None"/>
    <x v="0"/>
    <n v="15.28"/>
    <d v="2024-03-05T00:00:00"/>
    <d v="2024-06-16T00:00:00"/>
    <x v="1"/>
    <n v="103"/>
    <n v="4936.3100000000004"/>
    <s v="SENS0190"/>
    <d v="2024-05-19T00:00:00"/>
    <n v="22.615839000000001"/>
    <n v="72.463239999999999"/>
    <n v="0.73"/>
    <x v="1"/>
    <n v="103"/>
    <s v="Medium"/>
    <s v="Medium Usage"/>
  </r>
  <r>
    <s v="FARM0191"/>
    <x v="1"/>
    <x v="2"/>
    <n v="36.99"/>
    <n v="6.75"/>
    <n v="26.88"/>
    <n v="61.99"/>
    <n v="45.41"/>
    <n v="9.02"/>
    <s v="Drip"/>
    <x v="2"/>
    <n v="10.210000000000001"/>
    <d v="2024-02-13T00:00:00"/>
    <d v="2024-05-20T00:00:00"/>
    <x v="0"/>
    <n v="97"/>
    <n v="4189.13"/>
    <s v="SENS0191"/>
    <d v="2024-04-13T00:00:00"/>
    <n v="27.546704999999999"/>
    <n v="74.109898000000001"/>
    <n v="0.71"/>
    <x v="1"/>
    <n v="97"/>
    <s v="Medium"/>
    <s v="Low Usage"/>
  </r>
  <r>
    <s v="FARM0192"/>
    <x v="2"/>
    <x v="3"/>
    <n v="33.159999999999997"/>
    <n v="6.82"/>
    <n v="20.399999999999999"/>
    <n v="201.41"/>
    <n v="46.86"/>
    <n v="8.98"/>
    <s v="Drip"/>
    <x v="2"/>
    <n v="37.340000000000003"/>
    <d v="2024-01-10T00:00:00"/>
    <d v="2024-04-16T00:00:00"/>
    <x v="3"/>
    <n v="97"/>
    <n v="5139.04"/>
    <s v="SENS0192"/>
    <d v="2024-03-13T00:00:00"/>
    <n v="14.966167"/>
    <n v="73.994988000000006"/>
    <n v="0.46"/>
    <x v="0"/>
    <n v="97"/>
    <s v="High"/>
    <s v="Medium Usage"/>
  </r>
  <r>
    <s v="FARM0193"/>
    <x v="2"/>
    <x v="3"/>
    <n v="20.34"/>
    <n v="5.58"/>
    <n v="24.93"/>
    <n v="101.92"/>
    <n v="86.66"/>
    <n v="5.98"/>
    <s v="Drip"/>
    <x v="0"/>
    <n v="35.22"/>
    <d v="2024-01-27T00:00:00"/>
    <d v="2024-06-01T00:00:00"/>
    <x v="1"/>
    <n v="126"/>
    <n v="4676.09"/>
    <s v="SENS0193"/>
    <d v="2024-02-15T00:00:00"/>
    <n v="33.736150000000002"/>
    <n v="85.590524000000002"/>
    <n v="0.35"/>
    <x v="1"/>
    <n v="126"/>
    <s v="Medium"/>
    <s v="Medium Usage"/>
  </r>
  <r>
    <s v="FARM0194"/>
    <x v="2"/>
    <x v="4"/>
    <n v="25.99"/>
    <n v="7.45"/>
    <n v="20.28"/>
    <n v="62.52"/>
    <n v="80.66"/>
    <n v="9.24"/>
    <s v="Manual"/>
    <x v="1"/>
    <n v="41.07"/>
    <d v="2024-02-14T00:00:00"/>
    <d v="2024-06-30T00:00:00"/>
    <x v="1"/>
    <n v="137"/>
    <n v="2463.6"/>
    <s v="SENS0194"/>
    <d v="2024-02-25T00:00:00"/>
    <n v="10.241808000000001"/>
    <n v="72.767888999999997"/>
    <n v="0.69"/>
    <x v="3"/>
    <n v="137"/>
    <s v="Low"/>
    <s v="High Usage"/>
  </r>
  <r>
    <s v="FARM0195"/>
    <x v="2"/>
    <x v="3"/>
    <n v="43.43"/>
    <n v="6.04"/>
    <n v="29.66"/>
    <n v="143.16"/>
    <n v="57.14"/>
    <n v="4.68"/>
    <s v="None"/>
    <x v="1"/>
    <n v="17.23"/>
    <d v="2024-02-23T00:00:00"/>
    <d v="2024-07-16T00:00:00"/>
    <x v="2"/>
    <n v="144"/>
    <n v="3912.98"/>
    <s v="SENS0195"/>
    <d v="2024-06-09T00:00:00"/>
    <n v="26.221162"/>
    <n v="85.938191000000003"/>
    <n v="0.37"/>
    <x v="1"/>
    <n v="144"/>
    <s v="Medium"/>
    <s v="Medium Usage"/>
  </r>
  <r>
    <s v="FARM0196"/>
    <x v="4"/>
    <x v="0"/>
    <n v="24.56"/>
    <n v="6.68"/>
    <n v="31.05"/>
    <n v="219.6"/>
    <n v="49.06"/>
    <n v="6.28"/>
    <s v="Manual"/>
    <x v="2"/>
    <n v="6.3"/>
    <d v="2024-03-27T00:00:00"/>
    <d v="2024-08-10T00:00:00"/>
    <x v="4"/>
    <n v="136"/>
    <n v="5893.78"/>
    <s v="SENS0196"/>
    <d v="2024-04-29T00:00:00"/>
    <n v="22.076991"/>
    <n v="79.762456"/>
    <n v="0.83"/>
    <x v="2"/>
    <n v="136"/>
    <s v="High"/>
    <s v="Low Usage"/>
  </r>
  <r>
    <s v="FARM0197"/>
    <x v="0"/>
    <x v="0"/>
    <n v="19.16"/>
    <n v="6.13"/>
    <n v="29.09"/>
    <n v="219.48"/>
    <n v="78.38"/>
    <n v="7.46"/>
    <s v="Sprinkler"/>
    <x v="2"/>
    <n v="44.29"/>
    <d v="2024-03-17T00:00:00"/>
    <d v="2024-07-29T00:00:00"/>
    <x v="2"/>
    <n v="134"/>
    <n v="4802.32"/>
    <s v="SENS0197"/>
    <d v="2024-04-10T00:00:00"/>
    <n v="20.821197999999999"/>
    <n v="84.533039000000002"/>
    <n v="0.59"/>
    <x v="2"/>
    <n v="134"/>
    <s v="Medium"/>
    <s v="High Usage"/>
  </r>
  <r>
    <s v="FARM0198"/>
    <x v="4"/>
    <x v="1"/>
    <n v="41.22"/>
    <n v="6.73"/>
    <n v="15.23"/>
    <n v="283.58999999999997"/>
    <n v="65.28"/>
    <n v="6.82"/>
    <s v="None"/>
    <x v="0"/>
    <n v="8.3699999999999992"/>
    <d v="2024-02-11T00:00:00"/>
    <d v="2024-05-26T00:00:00"/>
    <x v="0"/>
    <n v="105"/>
    <n v="3323.58"/>
    <s v="SENS0198"/>
    <d v="2024-03-17T00:00:00"/>
    <n v="11.258768"/>
    <n v="74.454130000000006"/>
    <n v="0.69"/>
    <x v="2"/>
    <n v="105"/>
    <s v="Medium"/>
    <s v="Low Usage"/>
  </r>
  <r>
    <s v="FARM0199"/>
    <x v="4"/>
    <x v="0"/>
    <n v="26.07"/>
    <n v="7.1"/>
    <n v="23.96"/>
    <n v="264.14999999999998"/>
    <n v="62.35"/>
    <n v="4.71"/>
    <s v="None"/>
    <x v="2"/>
    <n v="34.4"/>
    <d v="2024-01-13T00:00:00"/>
    <d v="2024-05-08T00:00:00"/>
    <x v="0"/>
    <n v="116"/>
    <n v="2143.33"/>
    <s v="SENS0199"/>
    <d v="2024-03-23T00:00:00"/>
    <n v="10.004243000000001"/>
    <n v="71.817910999999995"/>
    <n v="0.66"/>
    <x v="3"/>
    <n v="116"/>
    <s v="Low"/>
    <s v="Medium Usage"/>
  </r>
  <r>
    <s v="FARM0200"/>
    <x v="3"/>
    <x v="1"/>
    <n v="17.239999999999998"/>
    <n v="6.84"/>
    <n v="34.01"/>
    <n v="140.84"/>
    <n v="42.71"/>
    <n v="5.34"/>
    <s v="None"/>
    <x v="1"/>
    <n v="30.21"/>
    <d v="2024-03-20T00:00:00"/>
    <d v="2024-07-18T00:00:00"/>
    <x v="2"/>
    <n v="120"/>
    <n v="4866.63"/>
    <s v="SENS0200"/>
    <d v="2024-05-05T00:00:00"/>
    <n v="27.897838"/>
    <n v="72.280467000000002"/>
    <n v="0.76"/>
    <x v="0"/>
    <n v="120"/>
    <s v="Medium"/>
    <s v="Medium Usage"/>
  </r>
  <r>
    <s v="FARM0201"/>
    <x v="0"/>
    <x v="2"/>
    <n v="22.43"/>
    <n v="6.77"/>
    <n v="31"/>
    <n v="186.92"/>
    <n v="58.69"/>
    <n v="4.6399999999999997"/>
    <s v="Sprinkler"/>
    <x v="1"/>
    <n v="11.32"/>
    <d v="2024-03-24T00:00:00"/>
    <d v="2024-08-07T00:00:00"/>
    <x v="4"/>
    <n v="136"/>
    <n v="3636.84"/>
    <s v="SENS0201"/>
    <d v="2024-05-28T00:00:00"/>
    <n v="25.271294000000001"/>
    <n v="73.750867999999997"/>
    <n v="0.86"/>
    <x v="2"/>
    <n v="136"/>
    <s v="Medium"/>
    <s v="Low Usage"/>
  </r>
  <r>
    <s v="FARM0202"/>
    <x v="4"/>
    <x v="3"/>
    <n v="38.86"/>
    <n v="5.88"/>
    <n v="21.76"/>
    <n v="239.29"/>
    <n v="42.33"/>
    <n v="7.8"/>
    <s v="Drip"/>
    <x v="1"/>
    <n v="25.58"/>
    <d v="2024-03-17T00:00:00"/>
    <d v="2024-06-23T00:00:00"/>
    <x v="1"/>
    <n v="98"/>
    <n v="5855.42"/>
    <s v="SENS0202"/>
    <d v="2024-03-17T00:00:00"/>
    <n v="23.259108999999999"/>
    <n v="70.971431999999993"/>
    <n v="0.86"/>
    <x v="2"/>
    <n v="98"/>
    <s v="High"/>
    <s v="Medium Usage"/>
  </r>
  <r>
    <s v="FARM0203"/>
    <x v="3"/>
    <x v="4"/>
    <n v="34.21"/>
    <n v="5.85"/>
    <n v="31.3"/>
    <n v="75.89"/>
    <n v="72.88"/>
    <n v="7.64"/>
    <s v="Manual"/>
    <x v="2"/>
    <n v="44.66"/>
    <d v="2024-02-20T00:00:00"/>
    <d v="2024-07-17T00:00:00"/>
    <x v="2"/>
    <n v="148"/>
    <n v="4770.0600000000004"/>
    <s v="SENS0203"/>
    <d v="2024-04-23T00:00:00"/>
    <n v="16.839897000000001"/>
    <n v="89.271871000000004"/>
    <n v="0.88"/>
    <x v="2"/>
    <n v="148"/>
    <s v="Medium"/>
    <s v="High Usage"/>
  </r>
  <r>
    <s v="FARM0204"/>
    <x v="4"/>
    <x v="4"/>
    <n v="24.45"/>
    <n v="6.9"/>
    <n v="29.97"/>
    <n v="124.73"/>
    <n v="75.069999999999993"/>
    <n v="9.16"/>
    <s v="Sprinkler"/>
    <x v="0"/>
    <n v="14.44"/>
    <d v="2024-03-10T00:00:00"/>
    <d v="2024-07-21T00:00:00"/>
    <x v="2"/>
    <n v="133"/>
    <n v="3381.17"/>
    <s v="SENS0204"/>
    <d v="2024-04-12T00:00:00"/>
    <n v="34.533386999999998"/>
    <n v="83.001728"/>
    <n v="0.87"/>
    <x v="3"/>
    <n v="133"/>
    <s v="Medium"/>
    <s v="Low Usage"/>
  </r>
  <r>
    <s v="FARM0205"/>
    <x v="0"/>
    <x v="2"/>
    <n v="29.68"/>
    <n v="6.67"/>
    <n v="33.85"/>
    <n v="227.53"/>
    <n v="73.709999999999994"/>
    <n v="9.36"/>
    <s v="Manual"/>
    <x v="1"/>
    <n v="41.37"/>
    <d v="2024-03-04T00:00:00"/>
    <d v="2024-06-03T00:00:00"/>
    <x v="1"/>
    <n v="91"/>
    <n v="3523.48"/>
    <s v="SENS0205"/>
    <d v="2024-03-10T00:00:00"/>
    <n v="26.756354000000002"/>
    <n v="73.998047999999997"/>
    <n v="0.75"/>
    <x v="0"/>
    <n v="91"/>
    <s v="Medium"/>
    <s v="High Usage"/>
  </r>
  <r>
    <s v="FARM0206"/>
    <x v="2"/>
    <x v="2"/>
    <n v="15.12"/>
    <n v="5.62"/>
    <n v="30.69"/>
    <n v="101"/>
    <n v="67.06"/>
    <n v="6.15"/>
    <s v="None"/>
    <x v="0"/>
    <n v="32.72"/>
    <d v="2024-03-24T00:00:00"/>
    <d v="2024-07-27T00:00:00"/>
    <x v="2"/>
    <n v="125"/>
    <n v="5459.37"/>
    <s v="SENS0206"/>
    <d v="2024-06-27T00:00:00"/>
    <n v="26.177986000000001"/>
    <n v="77.777732999999998"/>
    <n v="0.61"/>
    <x v="3"/>
    <n v="125"/>
    <s v="High"/>
    <s v="Medium Usage"/>
  </r>
  <r>
    <s v="FARM0207"/>
    <x v="0"/>
    <x v="3"/>
    <n v="23.56"/>
    <n v="7.41"/>
    <n v="34.520000000000003"/>
    <n v="128.16"/>
    <n v="67.61"/>
    <n v="4.08"/>
    <s v="Manual"/>
    <x v="0"/>
    <n v="32.93"/>
    <d v="2024-02-27T00:00:00"/>
    <d v="2024-06-10T00:00:00"/>
    <x v="1"/>
    <n v="104"/>
    <n v="5645.95"/>
    <s v="SENS0207"/>
    <d v="2024-05-27T00:00:00"/>
    <n v="27.738636"/>
    <n v="77.354821999999999"/>
    <n v="0.65"/>
    <x v="0"/>
    <n v="104"/>
    <s v="High"/>
    <s v="Medium Usage"/>
  </r>
  <r>
    <s v="FARM0208"/>
    <x v="4"/>
    <x v="2"/>
    <n v="25.71"/>
    <n v="7.47"/>
    <n v="16.489999999999998"/>
    <n v="290.62"/>
    <n v="76.75"/>
    <n v="4.72"/>
    <s v="Drip"/>
    <x v="1"/>
    <n v="17.559999999999999"/>
    <d v="2024-02-05T00:00:00"/>
    <d v="2024-05-15T00:00:00"/>
    <x v="0"/>
    <n v="100"/>
    <n v="4335.9399999999996"/>
    <s v="SENS0208"/>
    <d v="2024-03-08T00:00:00"/>
    <n v="10.141128"/>
    <n v="79.326627000000002"/>
    <n v="0.86"/>
    <x v="1"/>
    <n v="100"/>
    <s v="Medium"/>
    <s v="Medium Usage"/>
  </r>
  <r>
    <s v="FARM0209"/>
    <x v="4"/>
    <x v="2"/>
    <n v="30.89"/>
    <n v="7.05"/>
    <n v="27.51"/>
    <n v="260.77999999999997"/>
    <n v="55.06"/>
    <n v="8.74"/>
    <s v="Manual"/>
    <x v="0"/>
    <n v="40.28"/>
    <d v="2024-02-17T00:00:00"/>
    <d v="2024-05-31T00:00:00"/>
    <x v="0"/>
    <n v="104"/>
    <n v="5827.95"/>
    <s v="SENS0209"/>
    <d v="2024-04-23T00:00:00"/>
    <n v="11.704412"/>
    <n v="80.102806999999999"/>
    <n v="0.55000000000000004"/>
    <x v="2"/>
    <n v="104"/>
    <s v="High"/>
    <s v="High Usage"/>
  </r>
  <r>
    <s v="FARM0210"/>
    <x v="0"/>
    <x v="2"/>
    <n v="17.739999999999998"/>
    <n v="5.93"/>
    <n v="21.64"/>
    <n v="140.19999999999999"/>
    <n v="50.92"/>
    <n v="8.52"/>
    <s v="None"/>
    <x v="2"/>
    <n v="42.07"/>
    <d v="2024-03-01T00:00:00"/>
    <d v="2024-06-06T00:00:00"/>
    <x v="1"/>
    <n v="97"/>
    <n v="4675.75"/>
    <s v="SENS0210"/>
    <d v="2024-04-27T00:00:00"/>
    <n v="16.008697000000002"/>
    <n v="82.845286999999999"/>
    <n v="0.85"/>
    <x v="0"/>
    <n v="97"/>
    <s v="Medium"/>
    <s v="High Usage"/>
  </r>
  <r>
    <s v="FARM0211"/>
    <x v="0"/>
    <x v="2"/>
    <n v="23.35"/>
    <n v="7.09"/>
    <n v="17.27"/>
    <n v="114.15"/>
    <n v="76.2"/>
    <n v="4.1500000000000004"/>
    <s v="Manual"/>
    <x v="2"/>
    <n v="41.13"/>
    <d v="2024-02-16T00:00:00"/>
    <d v="2024-05-18T00:00:00"/>
    <x v="0"/>
    <n v="92"/>
    <n v="3185.74"/>
    <s v="SENS0211"/>
    <d v="2024-05-09T00:00:00"/>
    <n v="14.812810000000001"/>
    <n v="80.277894000000003"/>
    <n v="0.87"/>
    <x v="0"/>
    <n v="92"/>
    <s v="Medium"/>
    <s v="High Usage"/>
  </r>
  <r>
    <s v="FARM0212"/>
    <x v="3"/>
    <x v="1"/>
    <n v="10.26"/>
    <n v="5.63"/>
    <n v="28.41"/>
    <n v="243.4"/>
    <n v="83.25"/>
    <n v="6.55"/>
    <s v="Drip"/>
    <x v="0"/>
    <n v="29.2"/>
    <d v="2024-03-24T00:00:00"/>
    <d v="2024-08-10T00:00:00"/>
    <x v="4"/>
    <n v="139"/>
    <n v="3740.95"/>
    <s v="SENS0212"/>
    <d v="2024-04-11T00:00:00"/>
    <n v="28.672270999999999"/>
    <n v="73.075091999999998"/>
    <n v="0.57999999999999996"/>
    <x v="3"/>
    <n v="139"/>
    <s v="Medium"/>
    <s v="Medium Usage"/>
  </r>
  <r>
    <s v="FARM0213"/>
    <x v="0"/>
    <x v="0"/>
    <n v="12.56"/>
    <n v="5.86"/>
    <n v="20.04"/>
    <n v="67.61"/>
    <n v="81.08"/>
    <n v="9.4700000000000006"/>
    <s v="None"/>
    <x v="1"/>
    <n v="25.3"/>
    <d v="2024-02-14T00:00:00"/>
    <d v="2024-06-03T00:00:00"/>
    <x v="1"/>
    <n v="110"/>
    <n v="2067.56"/>
    <s v="SENS0213"/>
    <d v="2024-05-10T00:00:00"/>
    <n v="12.957644"/>
    <n v="70.117979000000005"/>
    <n v="0.73"/>
    <x v="1"/>
    <n v="110"/>
    <s v="Low"/>
    <s v="Medium Usage"/>
  </r>
  <r>
    <s v="FARM0214"/>
    <x v="3"/>
    <x v="0"/>
    <n v="34.53"/>
    <n v="5.65"/>
    <n v="33.56"/>
    <n v="76.53"/>
    <n v="79.34"/>
    <n v="5.81"/>
    <s v="Drip"/>
    <x v="1"/>
    <n v="39.44"/>
    <d v="2024-02-13T00:00:00"/>
    <d v="2024-06-07T00:00:00"/>
    <x v="1"/>
    <n v="115"/>
    <n v="5288.49"/>
    <s v="SENS0214"/>
    <d v="2024-02-16T00:00:00"/>
    <n v="21.849692000000001"/>
    <n v="80.669354999999996"/>
    <n v="0.38"/>
    <x v="2"/>
    <n v="115"/>
    <s v="High"/>
    <s v="High Usage"/>
  </r>
  <r>
    <s v="FARM0215"/>
    <x v="3"/>
    <x v="2"/>
    <n v="43.6"/>
    <n v="5.79"/>
    <n v="28.55"/>
    <n v="278.54000000000002"/>
    <n v="79.75"/>
    <n v="8.3800000000000008"/>
    <s v="Manual"/>
    <x v="0"/>
    <n v="29.91"/>
    <d v="2024-03-05T00:00:00"/>
    <d v="2024-06-10T00:00:00"/>
    <x v="1"/>
    <n v="97"/>
    <n v="2167.09"/>
    <s v="SENS0215"/>
    <d v="2024-05-17T00:00:00"/>
    <n v="24.916371999999999"/>
    <n v="80.743041000000005"/>
    <n v="0.87"/>
    <x v="3"/>
    <n v="97"/>
    <s v="Low"/>
    <s v="Medium Usage"/>
  </r>
  <r>
    <s v="FARM0216"/>
    <x v="4"/>
    <x v="2"/>
    <n v="17.41"/>
    <n v="7.31"/>
    <n v="32.03"/>
    <n v="85.61"/>
    <n v="49.2"/>
    <n v="7.7"/>
    <s v="Manual"/>
    <x v="0"/>
    <n v="10.16"/>
    <d v="2024-03-26T00:00:00"/>
    <d v="2024-07-30T00:00:00"/>
    <x v="2"/>
    <n v="126"/>
    <n v="5409"/>
    <s v="SENS0216"/>
    <d v="2024-07-12T00:00:00"/>
    <n v="28.776045"/>
    <n v="89.801528000000005"/>
    <n v="0.63"/>
    <x v="1"/>
    <n v="126"/>
    <s v="High"/>
    <s v="Low Usage"/>
  </r>
  <r>
    <s v="FARM0217"/>
    <x v="2"/>
    <x v="0"/>
    <n v="18.77"/>
    <n v="5.89"/>
    <n v="26.61"/>
    <n v="287.88"/>
    <n v="57.86"/>
    <n v="8.0299999999999994"/>
    <s v="Sprinkler"/>
    <x v="0"/>
    <n v="17.829999999999998"/>
    <d v="2024-01-07T00:00:00"/>
    <d v="2024-04-26T00:00:00"/>
    <x v="3"/>
    <n v="110"/>
    <n v="3943.44"/>
    <s v="SENS0217"/>
    <d v="2024-02-18T00:00:00"/>
    <n v="25.408560999999999"/>
    <n v="76.113510000000005"/>
    <n v="0.65"/>
    <x v="3"/>
    <n v="110"/>
    <s v="Medium"/>
    <s v="Medium Usage"/>
  </r>
  <r>
    <s v="FARM0218"/>
    <x v="2"/>
    <x v="3"/>
    <n v="15.9"/>
    <n v="6.13"/>
    <n v="30.71"/>
    <n v="228.05"/>
    <n v="72.040000000000006"/>
    <n v="5.66"/>
    <s v="Manual"/>
    <x v="0"/>
    <n v="35.58"/>
    <d v="2024-02-16T00:00:00"/>
    <d v="2024-06-14T00:00:00"/>
    <x v="1"/>
    <n v="119"/>
    <n v="3781.43"/>
    <s v="SENS0218"/>
    <d v="2024-05-25T00:00:00"/>
    <n v="17.636794999999999"/>
    <n v="81.033437000000006"/>
    <n v="0.41"/>
    <x v="1"/>
    <n v="119"/>
    <s v="Medium"/>
    <s v="Medium Usage"/>
  </r>
  <r>
    <s v="FARM0219"/>
    <x v="2"/>
    <x v="4"/>
    <n v="41.2"/>
    <n v="5.89"/>
    <n v="29.67"/>
    <n v="206.65"/>
    <n v="76.37"/>
    <n v="9.35"/>
    <s v="Drip"/>
    <x v="2"/>
    <n v="31.05"/>
    <d v="2024-03-07T00:00:00"/>
    <d v="2024-08-02T00:00:00"/>
    <x v="4"/>
    <n v="148"/>
    <n v="2146.63"/>
    <s v="SENS0219"/>
    <d v="2024-05-12T00:00:00"/>
    <n v="23.586732999999999"/>
    <n v="89.974564000000001"/>
    <n v="0.57999999999999996"/>
    <x v="0"/>
    <n v="148"/>
    <s v="Low"/>
    <s v="Medium Usage"/>
  </r>
  <r>
    <s v="FARM0220"/>
    <x v="2"/>
    <x v="3"/>
    <n v="17.82"/>
    <n v="7.04"/>
    <n v="29.66"/>
    <n v="122.75"/>
    <n v="63.24"/>
    <n v="7.06"/>
    <s v="None"/>
    <x v="1"/>
    <n v="27.6"/>
    <d v="2024-03-08T00:00:00"/>
    <d v="2024-07-30T00:00:00"/>
    <x v="2"/>
    <n v="144"/>
    <n v="5856"/>
    <s v="SENS0220"/>
    <d v="2024-04-19T00:00:00"/>
    <n v="28.930152"/>
    <n v="72.807413999999994"/>
    <n v="0.4"/>
    <x v="0"/>
    <n v="144"/>
    <s v="High"/>
    <s v="Medium Usage"/>
  </r>
  <r>
    <s v="FARM0221"/>
    <x v="1"/>
    <x v="2"/>
    <n v="11.41"/>
    <n v="7.02"/>
    <n v="19.63"/>
    <n v="116.09"/>
    <n v="51.7"/>
    <n v="8.01"/>
    <s v="Manual"/>
    <x v="1"/>
    <n v="26.14"/>
    <d v="2024-02-02T00:00:00"/>
    <d v="2024-05-04T00:00:00"/>
    <x v="0"/>
    <n v="92"/>
    <n v="5922.36"/>
    <s v="SENS0221"/>
    <d v="2024-03-14T00:00:00"/>
    <n v="12.580625"/>
    <n v="89.368827999999993"/>
    <n v="0.68"/>
    <x v="3"/>
    <n v="92"/>
    <s v="High"/>
    <s v="Medium Usage"/>
  </r>
  <r>
    <s v="FARM0222"/>
    <x v="2"/>
    <x v="1"/>
    <n v="29.05"/>
    <n v="5.85"/>
    <n v="28.07"/>
    <n v="141.32"/>
    <n v="72.67"/>
    <n v="9.01"/>
    <s v="Manual"/>
    <x v="1"/>
    <n v="48.77"/>
    <d v="2024-01-17T00:00:00"/>
    <d v="2024-05-11T00:00:00"/>
    <x v="0"/>
    <n v="115"/>
    <n v="3411.59"/>
    <s v="SENS0222"/>
    <d v="2024-05-07T00:00:00"/>
    <n v="18.625807999999999"/>
    <n v="85.853149000000002"/>
    <n v="0.83"/>
    <x v="1"/>
    <n v="115"/>
    <s v="Medium"/>
    <s v="High Usage"/>
  </r>
  <r>
    <s v="FARM0223"/>
    <x v="3"/>
    <x v="4"/>
    <n v="25.4"/>
    <n v="5.96"/>
    <n v="25.29"/>
    <n v="120.2"/>
    <n v="47.51"/>
    <n v="4.9400000000000004"/>
    <s v="Drip"/>
    <x v="2"/>
    <n v="15.37"/>
    <d v="2024-02-24T00:00:00"/>
    <d v="2024-05-31T00:00:00"/>
    <x v="0"/>
    <n v="97"/>
    <n v="3926.07"/>
    <s v="SENS0223"/>
    <d v="2024-04-25T00:00:00"/>
    <n v="21.975529000000002"/>
    <n v="81.815817999999993"/>
    <n v="0.69"/>
    <x v="2"/>
    <n v="97"/>
    <s v="Medium"/>
    <s v="Medium Usage"/>
  </r>
  <r>
    <s v="FARM0224"/>
    <x v="0"/>
    <x v="4"/>
    <n v="11.51"/>
    <n v="6.65"/>
    <n v="18.22"/>
    <n v="207.39"/>
    <n v="41.96"/>
    <n v="7.43"/>
    <s v="Drip"/>
    <x v="0"/>
    <n v="16.62"/>
    <d v="2024-01-17T00:00:00"/>
    <d v="2024-05-11T00:00:00"/>
    <x v="0"/>
    <n v="115"/>
    <n v="4397.43"/>
    <s v="SENS0224"/>
    <d v="2024-03-29T00:00:00"/>
    <n v="25.940567999999999"/>
    <n v="87.570179999999993"/>
    <n v="0.74"/>
    <x v="3"/>
    <n v="115"/>
    <s v="Medium"/>
    <s v="Medium Usage"/>
  </r>
  <r>
    <s v="FARM0225"/>
    <x v="0"/>
    <x v="4"/>
    <n v="25.72"/>
    <n v="7.49"/>
    <n v="32.35"/>
    <n v="92.64"/>
    <n v="81.52"/>
    <n v="7.61"/>
    <s v="Sprinkler"/>
    <x v="2"/>
    <n v="34.68"/>
    <d v="2024-02-06T00:00:00"/>
    <d v="2024-06-21T00:00:00"/>
    <x v="1"/>
    <n v="136"/>
    <n v="4742.3599999999997"/>
    <s v="SENS0225"/>
    <d v="2024-06-01T00:00:00"/>
    <n v="24.913333999999999"/>
    <n v="71.376857999999999"/>
    <n v="0.53"/>
    <x v="0"/>
    <n v="136"/>
    <s v="Medium"/>
    <s v="Medium Usage"/>
  </r>
  <r>
    <s v="FARM0226"/>
    <x v="0"/>
    <x v="0"/>
    <n v="17.079999999999998"/>
    <n v="7.22"/>
    <n v="25.09"/>
    <n v="154.94999999999999"/>
    <n v="47.48"/>
    <n v="4.58"/>
    <s v="None"/>
    <x v="2"/>
    <n v="31.99"/>
    <d v="2024-03-17T00:00:00"/>
    <d v="2024-08-02T00:00:00"/>
    <x v="4"/>
    <n v="138"/>
    <n v="2470.0700000000002"/>
    <s v="SENS0226"/>
    <d v="2024-07-18T00:00:00"/>
    <n v="26.484815000000001"/>
    <n v="88.039694999999995"/>
    <n v="0.62"/>
    <x v="1"/>
    <n v="138"/>
    <s v="Low"/>
    <s v="Medium Usage"/>
  </r>
  <r>
    <s v="FARM0227"/>
    <x v="1"/>
    <x v="1"/>
    <n v="24.72"/>
    <n v="7.25"/>
    <n v="28.95"/>
    <n v="157.24"/>
    <n v="86.92"/>
    <n v="6.89"/>
    <s v="None"/>
    <x v="1"/>
    <n v="31.51"/>
    <d v="2024-03-25T00:00:00"/>
    <d v="2024-08-15T00:00:00"/>
    <x v="4"/>
    <n v="143"/>
    <n v="4786.83"/>
    <s v="SENS0227"/>
    <d v="2024-04-19T00:00:00"/>
    <n v="20.637235"/>
    <n v="75.090361000000001"/>
    <n v="0.76"/>
    <x v="1"/>
    <n v="143"/>
    <s v="Medium"/>
    <s v="Medium Usage"/>
  </r>
  <r>
    <s v="FARM0228"/>
    <x v="2"/>
    <x v="1"/>
    <n v="40.69"/>
    <n v="6.32"/>
    <n v="18.78"/>
    <n v="227.29"/>
    <n v="79.47"/>
    <n v="7.47"/>
    <s v="Drip"/>
    <x v="2"/>
    <n v="5.32"/>
    <d v="2024-03-07T00:00:00"/>
    <d v="2024-07-19T00:00:00"/>
    <x v="2"/>
    <n v="134"/>
    <n v="5217.1499999999996"/>
    <s v="SENS0228"/>
    <d v="2024-06-19T00:00:00"/>
    <n v="19.056744999999999"/>
    <n v="73.095572000000004"/>
    <n v="0.69"/>
    <x v="3"/>
    <n v="134"/>
    <s v="High"/>
    <s v="Low Usage"/>
  </r>
  <r>
    <s v="FARM0229"/>
    <x v="2"/>
    <x v="1"/>
    <n v="24.82"/>
    <n v="6.23"/>
    <n v="20.51"/>
    <n v="220.15"/>
    <n v="77.75"/>
    <n v="6.48"/>
    <s v="None"/>
    <x v="0"/>
    <n v="21.66"/>
    <d v="2024-03-16T00:00:00"/>
    <d v="2024-06-30T00:00:00"/>
    <x v="1"/>
    <n v="106"/>
    <n v="5954.03"/>
    <s v="SENS0229"/>
    <d v="2024-05-28T00:00:00"/>
    <n v="18.608908"/>
    <n v="84.109892000000002"/>
    <n v="0.74"/>
    <x v="1"/>
    <n v="106"/>
    <s v="High"/>
    <s v="Medium Usage"/>
  </r>
  <r>
    <s v="FARM0230"/>
    <x v="4"/>
    <x v="3"/>
    <n v="37.409999999999997"/>
    <n v="7.4"/>
    <n v="17.010000000000002"/>
    <n v="177.09"/>
    <n v="79.3"/>
    <n v="8.81"/>
    <s v="Drip"/>
    <x v="0"/>
    <n v="22.51"/>
    <d v="2024-03-01T00:00:00"/>
    <d v="2024-07-20T00:00:00"/>
    <x v="2"/>
    <n v="141"/>
    <n v="2364.35"/>
    <s v="SENS0230"/>
    <d v="2024-04-07T00:00:00"/>
    <n v="21.791716999999998"/>
    <n v="82.004908999999998"/>
    <n v="0.35"/>
    <x v="3"/>
    <n v="141"/>
    <s v="Low"/>
    <s v="Medium Usage"/>
  </r>
  <r>
    <s v="FARM0231"/>
    <x v="4"/>
    <x v="2"/>
    <n v="12.8"/>
    <n v="5.58"/>
    <n v="22.69"/>
    <n v="296.11"/>
    <n v="70.7"/>
    <n v="7.13"/>
    <s v="Drip"/>
    <x v="0"/>
    <n v="33.81"/>
    <d v="2024-02-01T00:00:00"/>
    <d v="2024-05-13T00:00:00"/>
    <x v="0"/>
    <n v="102"/>
    <n v="5402.27"/>
    <s v="SENS0231"/>
    <d v="2024-05-13T00:00:00"/>
    <n v="22.953831999999998"/>
    <n v="73.894930000000002"/>
    <n v="0.77"/>
    <x v="0"/>
    <n v="102"/>
    <s v="High"/>
    <s v="Medium Usage"/>
  </r>
  <r>
    <s v="FARM0232"/>
    <x v="3"/>
    <x v="4"/>
    <n v="33.590000000000003"/>
    <n v="6.22"/>
    <n v="28.1"/>
    <n v="293.91000000000003"/>
    <n v="44.34"/>
    <n v="5.66"/>
    <s v="None"/>
    <x v="1"/>
    <n v="35.130000000000003"/>
    <d v="2024-02-19T00:00:00"/>
    <d v="2024-05-31T00:00:00"/>
    <x v="0"/>
    <n v="102"/>
    <n v="4070.97"/>
    <s v="SENS0232"/>
    <d v="2024-05-23T00:00:00"/>
    <n v="27.590547999999998"/>
    <n v="88.383548000000005"/>
    <n v="0.63"/>
    <x v="3"/>
    <n v="102"/>
    <s v="Medium"/>
    <s v="Medium Usage"/>
  </r>
  <r>
    <s v="FARM0233"/>
    <x v="2"/>
    <x v="2"/>
    <n v="17.920000000000002"/>
    <n v="7.43"/>
    <n v="24.1"/>
    <n v="150.99"/>
    <n v="40.229999999999997"/>
    <n v="5.05"/>
    <s v="Drip"/>
    <x v="2"/>
    <n v="8.26"/>
    <d v="2024-02-11T00:00:00"/>
    <d v="2024-07-10T00:00:00"/>
    <x v="2"/>
    <n v="150"/>
    <n v="2468.04"/>
    <s v="SENS0233"/>
    <d v="2024-06-21T00:00:00"/>
    <n v="33.917734000000003"/>
    <n v="87.522261"/>
    <n v="0.79"/>
    <x v="3"/>
    <n v="150"/>
    <s v="Low"/>
    <s v="Low Usage"/>
  </r>
  <r>
    <s v="FARM0234"/>
    <x v="1"/>
    <x v="3"/>
    <n v="29.71"/>
    <n v="7.04"/>
    <n v="30.15"/>
    <n v="290.31"/>
    <n v="62.94"/>
    <n v="6.76"/>
    <s v="Drip"/>
    <x v="1"/>
    <n v="10.23"/>
    <d v="2024-01-13T00:00:00"/>
    <d v="2024-05-22T00:00:00"/>
    <x v="0"/>
    <n v="130"/>
    <n v="5154.62"/>
    <s v="SENS0234"/>
    <d v="2024-03-09T00:00:00"/>
    <n v="26.922823999999999"/>
    <n v="74.598602999999997"/>
    <n v="0.49"/>
    <x v="3"/>
    <n v="130"/>
    <s v="High"/>
    <s v="Low Usage"/>
  </r>
  <r>
    <s v="FARM0235"/>
    <x v="3"/>
    <x v="1"/>
    <n v="10.34"/>
    <n v="7.16"/>
    <n v="19.97"/>
    <n v="73.25"/>
    <n v="73.680000000000007"/>
    <n v="8.93"/>
    <s v="Drip"/>
    <x v="2"/>
    <n v="46.91"/>
    <d v="2024-02-11T00:00:00"/>
    <d v="2024-06-02T00:00:00"/>
    <x v="1"/>
    <n v="112"/>
    <n v="2874.26"/>
    <s v="SENS0235"/>
    <d v="2024-04-24T00:00:00"/>
    <n v="16.726894999999999"/>
    <n v="88.942362000000003"/>
    <n v="0.71"/>
    <x v="0"/>
    <n v="112"/>
    <s v="Low"/>
    <s v="High Usage"/>
  </r>
  <r>
    <s v="FARM0236"/>
    <x v="1"/>
    <x v="4"/>
    <n v="18.22"/>
    <n v="5.98"/>
    <n v="20.309999999999999"/>
    <n v="107.3"/>
    <n v="81.75"/>
    <n v="9.02"/>
    <s v="Manual"/>
    <x v="0"/>
    <n v="40.049999999999997"/>
    <d v="2024-01-03T00:00:00"/>
    <d v="2024-05-15T00:00:00"/>
    <x v="0"/>
    <n v="133"/>
    <n v="5823.12"/>
    <s v="SENS0236"/>
    <d v="2024-05-08T00:00:00"/>
    <n v="25.345673999999999"/>
    <n v="85.284884000000005"/>
    <n v="0.62"/>
    <x v="1"/>
    <n v="133"/>
    <s v="High"/>
    <s v="High Usage"/>
  </r>
  <r>
    <s v="FARM0237"/>
    <x v="1"/>
    <x v="2"/>
    <n v="31.72"/>
    <n v="6.48"/>
    <n v="34.71"/>
    <n v="274.25"/>
    <n v="83.44"/>
    <n v="6.94"/>
    <s v="Manual"/>
    <x v="1"/>
    <n v="14.99"/>
    <d v="2024-03-05T00:00:00"/>
    <d v="2024-06-06T00:00:00"/>
    <x v="1"/>
    <n v="93"/>
    <n v="4102.9399999999996"/>
    <s v="SENS0237"/>
    <d v="2024-04-28T00:00:00"/>
    <n v="21.958002"/>
    <n v="80.815359000000001"/>
    <n v="0.6"/>
    <x v="2"/>
    <n v="93"/>
    <s v="Medium"/>
    <s v="Medium Usage"/>
  </r>
  <r>
    <s v="FARM0238"/>
    <x v="4"/>
    <x v="3"/>
    <n v="44.18"/>
    <n v="6.9"/>
    <n v="24.2"/>
    <n v="222.3"/>
    <n v="40.590000000000003"/>
    <n v="5.26"/>
    <s v="Drip"/>
    <x v="1"/>
    <n v="21.27"/>
    <d v="2024-02-06T00:00:00"/>
    <d v="2024-06-10T00:00:00"/>
    <x v="1"/>
    <n v="125"/>
    <n v="3051.4"/>
    <s v="SENS0238"/>
    <d v="2024-03-11T00:00:00"/>
    <n v="21.783633999999999"/>
    <n v="82.261680999999996"/>
    <n v="0.52"/>
    <x v="2"/>
    <n v="125"/>
    <s v="Medium"/>
    <s v="Medium Usage"/>
  </r>
  <r>
    <s v="FARM0239"/>
    <x v="1"/>
    <x v="4"/>
    <n v="24.67"/>
    <n v="7"/>
    <n v="22.3"/>
    <n v="150.15"/>
    <n v="62.54"/>
    <n v="7.43"/>
    <s v="Sprinkler"/>
    <x v="0"/>
    <n v="37.44"/>
    <d v="2024-01-18T00:00:00"/>
    <d v="2024-05-14T00:00:00"/>
    <x v="0"/>
    <n v="117"/>
    <n v="5425.23"/>
    <s v="SENS0239"/>
    <d v="2024-02-12T00:00:00"/>
    <n v="13.646093"/>
    <n v="89.182957999999999"/>
    <n v="0.39"/>
    <x v="1"/>
    <n v="117"/>
    <s v="High"/>
    <s v="Medium Usage"/>
  </r>
  <r>
    <s v="FARM0240"/>
    <x v="4"/>
    <x v="3"/>
    <n v="27.49"/>
    <n v="7.49"/>
    <n v="31.99"/>
    <n v="179.25"/>
    <n v="76.03"/>
    <n v="8.7100000000000009"/>
    <s v="Manual"/>
    <x v="1"/>
    <n v="30.3"/>
    <d v="2024-03-02T00:00:00"/>
    <d v="2024-06-25T00:00:00"/>
    <x v="1"/>
    <n v="115"/>
    <n v="2395.9"/>
    <s v="SENS0240"/>
    <d v="2024-03-22T00:00:00"/>
    <n v="11.500909"/>
    <n v="86.276360999999994"/>
    <n v="0.59"/>
    <x v="1"/>
    <n v="115"/>
    <s v="Low"/>
    <s v="Medium Usage"/>
  </r>
  <r>
    <s v="FARM0241"/>
    <x v="1"/>
    <x v="2"/>
    <n v="19.09"/>
    <n v="6.22"/>
    <n v="26.15"/>
    <n v="252.5"/>
    <n v="57.21"/>
    <n v="6.47"/>
    <s v="Manual"/>
    <x v="2"/>
    <n v="48.34"/>
    <d v="2024-01-19T00:00:00"/>
    <d v="2024-05-24T00:00:00"/>
    <x v="0"/>
    <n v="126"/>
    <n v="4599.46"/>
    <s v="SENS0241"/>
    <d v="2024-03-27T00:00:00"/>
    <n v="14.363471000000001"/>
    <n v="85.606182000000004"/>
    <n v="0.51"/>
    <x v="2"/>
    <n v="126"/>
    <s v="Medium"/>
    <s v="High Usage"/>
  </r>
  <r>
    <s v="FARM0242"/>
    <x v="1"/>
    <x v="0"/>
    <n v="23.34"/>
    <n v="6.07"/>
    <n v="27.63"/>
    <n v="86.21"/>
    <n v="48.38"/>
    <n v="8.85"/>
    <s v="Manual"/>
    <x v="1"/>
    <n v="33.409999999999997"/>
    <d v="2024-03-13T00:00:00"/>
    <d v="2024-08-04T00:00:00"/>
    <x v="4"/>
    <n v="144"/>
    <n v="5628.29"/>
    <s v="SENS0242"/>
    <d v="2024-04-02T00:00:00"/>
    <n v="14.049987"/>
    <n v="74.564358999999996"/>
    <n v="0.49"/>
    <x v="3"/>
    <n v="144"/>
    <s v="High"/>
    <s v="Medium Usage"/>
  </r>
  <r>
    <s v="FARM0243"/>
    <x v="2"/>
    <x v="1"/>
    <n v="32.56"/>
    <n v="6.04"/>
    <n v="23.9"/>
    <n v="265.7"/>
    <n v="58.16"/>
    <n v="7.52"/>
    <s v="None"/>
    <x v="1"/>
    <n v="12.53"/>
    <d v="2024-01-05T00:00:00"/>
    <d v="2024-05-20T00:00:00"/>
    <x v="0"/>
    <n v="136"/>
    <n v="2938.51"/>
    <s v="SENS0243"/>
    <d v="2024-03-09T00:00:00"/>
    <n v="33.510933000000001"/>
    <n v="84.013938999999993"/>
    <n v="0.35"/>
    <x v="0"/>
    <n v="136"/>
    <s v="Low"/>
    <s v="Low Usage"/>
  </r>
  <r>
    <s v="FARM0244"/>
    <x v="1"/>
    <x v="0"/>
    <n v="13.34"/>
    <n v="7.37"/>
    <n v="24.46"/>
    <n v="63.46"/>
    <n v="78.55"/>
    <n v="7.14"/>
    <s v="Drip"/>
    <x v="0"/>
    <n v="16.809999999999999"/>
    <d v="2024-01-03T00:00:00"/>
    <d v="2024-05-13T00:00:00"/>
    <x v="0"/>
    <n v="131"/>
    <n v="5726.36"/>
    <s v="SENS0244"/>
    <d v="2024-04-11T00:00:00"/>
    <n v="17.734266000000002"/>
    <n v="74.947929999999999"/>
    <n v="0.47"/>
    <x v="0"/>
    <n v="131"/>
    <s v="High"/>
    <s v="Medium Usage"/>
  </r>
  <r>
    <s v="FARM0245"/>
    <x v="4"/>
    <x v="1"/>
    <n v="39.35"/>
    <n v="5.56"/>
    <n v="28.27"/>
    <n v="265.08999999999997"/>
    <n v="56.26"/>
    <n v="6.86"/>
    <s v="Manual"/>
    <x v="2"/>
    <n v="25.02"/>
    <d v="2024-03-18T00:00:00"/>
    <d v="2024-06-27T00:00:00"/>
    <x v="1"/>
    <n v="101"/>
    <n v="4363.32"/>
    <s v="SENS0245"/>
    <d v="2024-05-15T00:00:00"/>
    <n v="25.776188000000001"/>
    <n v="82.717022999999998"/>
    <n v="0.64"/>
    <x v="3"/>
    <n v="101"/>
    <s v="Medium"/>
    <s v="Medium Usage"/>
  </r>
  <r>
    <s v="FARM0246"/>
    <x v="2"/>
    <x v="3"/>
    <n v="28.89"/>
    <n v="7.11"/>
    <n v="23.84"/>
    <n v="141.44999999999999"/>
    <n v="52.99"/>
    <n v="5.82"/>
    <s v="Drip"/>
    <x v="2"/>
    <n v="41.69"/>
    <d v="2024-01-12T00:00:00"/>
    <d v="2024-04-29T00:00:00"/>
    <x v="3"/>
    <n v="108"/>
    <n v="3876.79"/>
    <s v="SENS0246"/>
    <d v="2024-01-13T00:00:00"/>
    <n v="27.194248999999999"/>
    <n v="79.838633000000002"/>
    <n v="0.75"/>
    <x v="3"/>
    <n v="108"/>
    <s v="Medium"/>
    <s v="High Usage"/>
  </r>
  <r>
    <s v="FARM0247"/>
    <x v="0"/>
    <x v="3"/>
    <n v="37.93"/>
    <n v="6.69"/>
    <n v="30.94"/>
    <n v="187.05"/>
    <n v="49.43"/>
    <n v="9.2899999999999991"/>
    <s v="None"/>
    <x v="1"/>
    <n v="16.25"/>
    <d v="2024-03-24T00:00:00"/>
    <d v="2024-08-02T00:00:00"/>
    <x v="4"/>
    <n v="131"/>
    <n v="3558.89"/>
    <s v="SENS0247"/>
    <d v="2024-06-28T00:00:00"/>
    <n v="15.514811"/>
    <n v="71.584194999999994"/>
    <n v="0.68"/>
    <x v="3"/>
    <n v="131"/>
    <s v="Medium"/>
    <s v="Medium Usage"/>
  </r>
  <r>
    <s v="FARM0248"/>
    <x v="2"/>
    <x v="1"/>
    <n v="38.31"/>
    <n v="6.33"/>
    <n v="32.07"/>
    <n v="95.6"/>
    <n v="54.48"/>
    <n v="7.82"/>
    <s v="None"/>
    <x v="1"/>
    <n v="36.520000000000003"/>
    <d v="2024-02-07T00:00:00"/>
    <d v="2024-05-27T00:00:00"/>
    <x v="0"/>
    <n v="110"/>
    <n v="2077.58"/>
    <s v="SENS0248"/>
    <d v="2024-02-13T00:00:00"/>
    <n v="34.242905"/>
    <n v="70.442617999999996"/>
    <n v="0.88"/>
    <x v="3"/>
    <n v="110"/>
    <s v="Low"/>
    <s v="Medium Usage"/>
  </r>
  <r>
    <s v="FARM0249"/>
    <x v="2"/>
    <x v="4"/>
    <n v="35.03"/>
    <n v="6.95"/>
    <n v="19.66"/>
    <n v="87.67"/>
    <n v="64.680000000000007"/>
    <n v="6.05"/>
    <s v="Manual"/>
    <x v="1"/>
    <n v="49.91"/>
    <d v="2024-02-23T00:00:00"/>
    <d v="2024-07-12T00:00:00"/>
    <x v="2"/>
    <n v="140"/>
    <n v="2126.9499999999998"/>
    <s v="SENS0249"/>
    <d v="2024-03-14T00:00:00"/>
    <n v="31.088657000000001"/>
    <n v="89.032881000000003"/>
    <n v="0.33"/>
    <x v="2"/>
    <n v="140"/>
    <s v="Low"/>
    <s v="High Usage"/>
  </r>
  <r>
    <s v="FARM0250"/>
    <x v="0"/>
    <x v="1"/>
    <n v="26.46"/>
    <n v="5.88"/>
    <n v="31.83"/>
    <n v="254.31"/>
    <n v="81.41"/>
    <n v="4.7300000000000004"/>
    <s v="Sprinkler"/>
    <x v="1"/>
    <n v="39.71"/>
    <d v="2024-02-08T00:00:00"/>
    <d v="2024-06-24T00:00:00"/>
    <x v="1"/>
    <n v="137"/>
    <n v="5978.14"/>
    <s v="SENS0250"/>
    <d v="2024-03-29T00:00:00"/>
    <n v="21.520866000000002"/>
    <n v="85.419918999999993"/>
    <n v="0.61"/>
    <x v="0"/>
    <n v="137"/>
    <s v="High"/>
    <s v="High Usage"/>
  </r>
  <r>
    <s v="FARM0251"/>
    <x v="1"/>
    <x v="3"/>
    <n v="33.85"/>
    <n v="6.12"/>
    <n v="21.46"/>
    <n v="207.29"/>
    <n v="42.11"/>
    <n v="9.6199999999999992"/>
    <s v="Drip"/>
    <x v="1"/>
    <n v="26.66"/>
    <d v="2024-02-07T00:00:00"/>
    <d v="2024-05-30T00:00:00"/>
    <x v="0"/>
    <n v="113"/>
    <n v="5550.08"/>
    <s v="SENS0251"/>
    <d v="2024-05-27T00:00:00"/>
    <n v="26.667369999999998"/>
    <n v="89.465480999999997"/>
    <n v="0.44"/>
    <x v="2"/>
    <n v="113"/>
    <s v="High"/>
    <s v="Medium Usage"/>
  </r>
  <r>
    <s v="FARM0252"/>
    <x v="2"/>
    <x v="0"/>
    <n v="15.86"/>
    <n v="6.05"/>
    <n v="17.39"/>
    <n v="247.29"/>
    <n v="40.450000000000003"/>
    <n v="4.25"/>
    <s v="None"/>
    <x v="2"/>
    <n v="31.83"/>
    <d v="2024-02-25T00:00:00"/>
    <d v="2024-05-30T00:00:00"/>
    <x v="0"/>
    <n v="95"/>
    <n v="2994.89"/>
    <s v="SENS0252"/>
    <d v="2024-04-28T00:00:00"/>
    <n v="12.285038999999999"/>
    <n v="82.372896999999995"/>
    <n v="0.86"/>
    <x v="1"/>
    <n v="95"/>
    <s v="Medium"/>
    <s v="Medium Usage"/>
  </r>
  <r>
    <s v="FARM0253"/>
    <x v="0"/>
    <x v="2"/>
    <n v="32.56"/>
    <n v="6.9"/>
    <n v="30.83"/>
    <n v="81.459999999999994"/>
    <n v="51.63"/>
    <n v="9.89"/>
    <s v="Manual"/>
    <x v="1"/>
    <n v="37.99"/>
    <d v="2024-01-23T00:00:00"/>
    <d v="2024-05-16T00:00:00"/>
    <x v="0"/>
    <n v="114"/>
    <n v="3432.67"/>
    <s v="SENS0253"/>
    <d v="2024-02-09T00:00:00"/>
    <n v="16.267406000000001"/>
    <n v="70.789771000000002"/>
    <n v="0.72"/>
    <x v="3"/>
    <n v="114"/>
    <s v="Medium"/>
    <s v="Medium Usage"/>
  </r>
  <r>
    <s v="FARM0254"/>
    <x v="3"/>
    <x v="3"/>
    <n v="16.64"/>
    <n v="5.87"/>
    <n v="21.95"/>
    <n v="233.1"/>
    <n v="53.77"/>
    <n v="8.99"/>
    <s v="Sprinkler"/>
    <x v="0"/>
    <n v="28.9"/>
    <d v="2024-02-10T00:00:00"/>
    <d v="2024-07-01T00:00:00"/>
    <x v="2"/>
    <n v="142"/>
    <n v="3053.4"/>
    <s v="SENS0254"/>
    <d v="2024-05-13T00:00:00"/>
    <n v="21.351973999999998"/>
    <n v="85.518358000000006"/>
    <n v="0.6"/>
    <x v="0"/>
    <n v="142"/>
    <s v="Medium"/>
    <s v="Medium Usage"/>
  </r>
  <r>
    <s v="FARM0255"/>
    <x v="0"/>
    <x v="1"/>
    <n v="39.99"/>
    <n v="7.05"/>
    <n v="19.78"/>
    <n v="230.25"/>
    <n v="72.91"/>
    <n v="7.23"/>
    <s v="None"/>
    <x v="0"/>
    <n v="28.58"/>
    <d v="2024-02-25T00:00:00"/>
    <d v="2024-06-29T00:00:00"/>
    <x v="1"/>
    <n v="125"/>
    <n v="2616.5300000000002"/>
    <s v="SENS0255"/>
    <d v="2024-04-01T00:00:00"/>
    <n v="18.065000999999999"/>
    <n v="82.818078999999997"/>
    <n v="0.37"/>
    <x v="1"/>
    <n v="125"/>
    <s v="Low"/>
    <s v="Medium Usage"/>
  </r>
  <r>
    <s v="FARM0256"/>
    <x v="0"/>
    <x v="4"/>
    <n v="16.25"/>
    <n v="5.56"/>
    <n v="17.14"/>
    <n v="97.9"/>
    <n v="41.59"/>
    <n v="7.85"/>
    <s v="None"/>
    <x v="2"/>
    <n v="27.05"/>
    <d v="2024-03-23T00:00:00"/>
    <d v="2024-07-28T00:00:00"/>
    <x v="2"/>
    <n v="127"/>
    <n v="3023.75"/>
    <s v="SENS0256"/>
    <d v="2024-06-24T00:00:00"/>
    <n v="15.51807"/>
    <n v="84.356904"/>
    <n v="0.31"/>
    <x v="0"/>
    <n v="127"/>
    <s v="Medium"/>
    <s v="Medium Usage"/>
  </r>
  <r>
    <s v="FARM0257"/>
    <x v="1"/>
    <x v="0"/>
    <n v="26.38"/>
    <n v="6.78"/>
    <n v="22.22"/>
    <n v="235.87"/>
    <n v="84.52"/>
    <n v="8.93"/>
    <s v="Drip"/>
    <x v="2"/>
    <n v="16.96"/>
    <d v="2024-01-24T00:00:00"/>
    <d v="2024-04-27T00:00:00"/>
    <x v="3"/>
    <n v="94"/>
    <n v="5337.83"/>
    <s v="SENS0257"/>
    <d v="2024-02-02T00:00:00"/>
    <n v="33.615087000000003"/>
    <n v="89.211735000000004"/>
    <n v="0.36"/>
    <x v="0"/>
    <n v="94"/>
    <s v="High"/>
    <s v="Medium Usage"/>
  </r>
  <r>
    <s v="FARM0258"/>
    <x v="3"/>
    <x v="3"/>
    <n v="16.63"/>
    <n v="6.55"/>
    <n v="19.98"/>
    <n v="206.33"/>
    <n v="48.94"/>
    <n v="8.5"/>
    <s v="None"/>
    <x v="2"/>
    <n v="9.75"/>
    <d v="2024-03-19T00:00:00"/>
    <d v="2024-07-09T00:00:00"/>
    <x v="2"/>
    <n v="112"/>
    <n v="4697.97"/>
    <s v="SENS0258"/>
    <d v="2024-06-16T00:00:00"/>
    <n v="26.631059"/>
    <n v="87.656480000000002"/>
    <n v="0.4"/>
    <x v="0"/>
    <n v="112"/>
    <s v="Medium"/>
    <s v="Low Usage"/>
  </r>
  <r>
    <s v="FARM0259"/>
    <x v="3"/>
    <x v="3"/>
    <n v="27.66"/>
    <n v="6.82"/>
    <n v="25.68"/>
    <n v="199.98"/>
    <n v="86.68"/>
    <n v="9.41"/>
    <s v="Manual"/>
    <x v="1"/>
    <n v="23.56"/>
    <d v="2024-03-14T00:00:00"/>
    <d v="2024-08-03T00:00:00"/>
    <x v="4"/>
    <n v="142"/>
    <n v="4903.47"/>
    <s v="SENS0259"/>
    <d v="2024-05-14T00:00:00"/>
    <n v="24.078617999999999"/>
    <n v="74.278563000000005"/>
    <n v="0.76"/>
    <x v="3"/>
    <n v="142"/>
    <s v="Medium"/>
    <s v="Medium Usage"/>
  </r>
  <r>
    <s v="FARM0260"/>
    <x v="2"/>
    <x v="3"/>
    <n v="25.66"/>
    <n v="6.29"/>
    <n v="29.53"/>
    <n v="295.74"/>
    <n v="69.790000000000006"/>
    <n v="7.11"/>
    <s v="Manual"/>
    <x v="0"/>
    <n v="18.52"/>
    <d v="2024-01-07T00:00:00"/>
    <d v="2024-05-30T00:00:00"/>
    <x v="0"/>
    <n v="144"/>
    <n v="3259.62"/>
    <s v="SENS0260"/>
    <d v="2024-03-17T00:00:00"/>
    <n v="32.977801999999997"/>
    <n v="80.225430000000003"/>
    <n v="0.64"/>
    <x v="0"/>
    <n v="144"/>
    <s v="Medium"/>
    <s v="Medium Usage"/>
  </r>
  <r>
    <s v="FARM0261"/>
    <x v="0"/>
    <x v="0"/>
    <n v="26.11"/>
    <n v="5.81"/>
    <n v="20.3"/>
    <n v="272.41000000000003"/>
    <n v="52.49"/>
    <n v="5.54"/>
    <s v="Manual"/>
    <x v="0"/>
    <n v="30.67"/>
    <d v="2024-03-07T00:00:00"/>
    <d v="2024-07-21T00:00:00"/>
    <x v="2"/>
    <n v="136"/>
    <n v="2308.81"/>
    <s v="SENS0261"/>
    <d v="2024-05-29T00:00:00"/>
    <n v="29.822604999999999"/>
    <n v="73.45805"/>
    <n v="0.8"/>
    <x v="1"/>
    <n v="136"/>
    <s v="Low"/>
    <s v="Medium Usage"/>
  </r>
  <r>
    <s v="FARM0262"/>
    <x v="3"/>
    <x v="2"/>
    <n v="11.31"/>
    <n v="7.12"/>
    <n v="22.63"/>
    <n v="245.03"/>
    <n v="86.09"/>
    <n v="6.01"/>
    <s v="None"/>
    <x v="1"/>
    <n v="46.86"/>
    <d v="2024-01-28T00:00:00"/>
    <d v="2024-06-15T00:00:00"/>
    <x v="1"/>
    <n v="139"/>
    <n v="2906.87"/>
    <s v="SENS0262"/>
    <d v="2024-01-30T00:00:00"/>
    <n v="25.847178"/>
    <n v="82.643872000000002"/>
    <n v="0.33"/>
    <x v="1"/>
    <n v="139"/>
    <s v="Low"/>
    <s v="High Usage"/>
  </r>
  <r>
    <s v="FARM0263"/>
    <x v="2"/>
    <x v="1"/>
    <n v="29.77"/>
    <n v="6.15"/>
    <n v="28.96"/>
    <n v="88.3"/>
    <n v="73.680000000000007"/>
    <n v="9.98"/>
    <s v="None"/>
    <x v="2"/>
    <n v="30.89"/>
    <d v="2024-01-08T00:00:00"/>
    <d v="2024-05-04T00:00:00"/>
    <x v="0"/>
    <n v="117"/>
    <n v="3159.13"/>
    <s v="SENS0263"/>
    <d v="2024-02-27T00:00:00"/>
    <n v="13.70031"/>
    <n v="76.723364000000004"/>
    <n v="0.59"/>
    <x v="1"/>
    <n v="117"/>
    <s v="Medium"/>
    <s v="Medium Usage"/>
  </r>
  <r>
    <s v="FARM0264"/>
    <x v="3"/>
    <x v="3"/>
    <n v="19.190000000000001"/>
    <n v="6.3"/>
    <n v="23.69"/>
    <n v="224.47"/>
    <n v="78.099999999999994"/>
    <n v="6.89"/>
    <s v="Sprinkler"/>
    <x v="1"/>
    <n v="22.79"/>
    <d v="2024-03-07T00:00:00"/>
    <d v="2024-07-10T00:00:00"/>
    <x v="2"/>
    <n v="125"/>
    <n v="4463.99"/>
    <s v="SENS0264"/>
    <d v="2024-06-09T00:00:00"/>
    <n v="23.106195"/>
    <n v="74.846301999999994"/>
    <n v="0.46"/>
    <x v="2"/>
    <n v="125"/>
    <s v="Medium"/>
    <s v="Medium Usage"/>
  </r>
  <r>
    <s v="FARM0265"/>
    <x v="2"/>
    <x v="1"/>
    <n v="13.14"/>
    <n v="6.84"/>
    <n v="23.47"/>
    <n v="137.08000000000001"/>
    <n v="56.04"/>
    <n v="7.56"/>
    <s v="Drip"/>
    <x v="1"/>
    <n v="12.62"/>
    <d v="2024-02-20T00:00:00"/>
    <d v="2024-07-11T00:00:00"/>
    <x v="2"/>
    <n v="142"/>
    <n v="5960.64"/>
    <s v="SENS0265"/>
    <d v="2024-06-12T00:00:00"/>
    <n v="25.579554000000002"/>
    <n v="78.809268000000003"/>
    <n v="0.85"/>
    <x v="0"/>
    <n v="142"/>
    <s v="High"/>
    <s v="Low Usage"/>
  </r>
  <r>
    <s v="FARM0266"/>
    <x v="4"/>
    <x v="2"/>
    <n v="15.46"/>
    <n v="6.96"/>
    <n v="16.72"/>
    <n v="234.9"/>
    <n v="52.15"/>
    <n v="7.73"/>
    <s v="Sprinkler"/>
    <x v="1"/>
    <n v="5.62"/>
    <d v="2024-03-26T00:00:00"/>
    <d v="2024-07-01T00:00:00"/>
    <x v="2"/>
    <n v="97"/>
    <n v="3220.47"/>
    <s v="SENS0266"/>
    <d v="2024-05-25T00:00:00"/>
    <n v="10.568702999999999"/>
    <n v="74.180190999999994"/>
    <n v="0.62"/>
    <x v="0"/>
    <n v="97"/>
    <s v="Medium"/>
    <s v="Low Usage"/>
  </r>
  <r>
    <s v="FARM0267"/>
    <x v="3"/>
    <x v="1"/>
    <n v="36.26"/>
    <n v="6.6"/>
    <n v="27.46"/>
    <n v="298.08"/>
    <n v="74.75"/>
    <n v="8.01"/>
    <s v="None"/>
    <x v="2"/>
    <n v="45.77"/>
    <d v="2024-03-02T00:00:00"/>
    <d v="2024-06-16T00:00:00"/>
    <x v="1"/>
    <n v="106"/>
    <n v="2681.28"/>
    <s v="SENS0267"/>
    <d v="2024-04-07T00:00:00"/>
    <n v="15.017401"/>
    <n v="83.930533999999994"/>
    <n v="0.46"/>
    <x v="2"/>
    <n v="106"/>
    <s v="Low"/>
    <s v="High Usage"/>
  </r>
  <r>
    <s v="FARM0268"/>
    <x v="0"/>
    <x v="0"/>
    <n v="23.6"/>
    <n v="6.04"/>
    <n v="32.04"/>
    <n v="215.03"/>
    <n v="83.21"/>
    <n v="4.1100000000000003"/>
    <s v="None"/>
    <x v="0"/>
    <n v="49.09"/>
    <d v="2024-03-23T00:00:00"/>
    <d v="2024-06-27T00:00:00"/>
    <x v="1"/>
    <n v="96"/>
    <n v="5615.49"/>
    <s v="SENS0268"/>
    <d v="2024-05-24T00:00:00"/>
    <n v="31.669319000000002"/>
    <n v="80.631213000000002"/>
    <n v="0.41"/>
    <x v="2"/>
    <n v="96"/>
    <s v="High"/>
    <s v="High Usage"/>
  </r>
  <r>
    <s v="FARM0269"/>
    <x v="3"/>
    <x v="0"/>
    <n v="11.39"/>
    <n v="7.34"/>
    <n v="21.1"/>
    <n v="172.48"/>
    <n v="77.22"/>
    <n v="4.1100000000000003"/>
    <s v="Manual"/>
    <x v="1"/>
    <n v="33.14"/>
    <d v="2024-01-17T00:00:00"/>
    <d v="2024-05-03T00:00:00"/>
    <x v="0"/>
    <n v="107"/>
    <n v="5247.57"/>
    <s v="SENS0269"/>
    <d v="2024-04-06T00:00:00"/>
    <n v="16.441984000000001"/>
    <n v="77.743412000000006"/>
    <n v="0.9"/>
    <x v="1"/>
    <n v="107"/>
    <s v="High"/>
    <s v="Medium Usage"/>
  </r>
  <r>
    <s v="FARM0270"/>
    <x v="3"/>
    <x v="2"/>
    <n v="17.899999999999999"/>
    <n v="6.18"/>
    <n v="22.86"/>
    <n v="84.32"/>
    <n v="76.489999999999995"/>
    <n v="7.12"/>
    <s v="Sprinkler"/>
    <x v="1"/>
    <n v="15.82"/>
    <d v="2024-01-14T00:00:00"/>
    <d v="2024-05-02T00:00:00"/>
    <x v="0"/>
    <n v="109"/>
    <n v="5638.94"/>
    <s v="SENS0270"/>
    <d v="2024-02-25T00:00:00"/>
    <n v="21.229230000000001"/>
    <n v="72.635442999999995"/>
    <n v="0.69"/>
    <x v="0"/>
    <n v="109"/>
    <s v="High"/>
    <s v="Medium Usage"/>
  </r>
  <r>
    <s v="FARM0271"/>
    <x v="4"/>
    <x v="2"/>
    <n v="34.1"/>
    <n v="7.3"/>
    <n v="33.19"/>
    <n v="157.52000000000001"/>
    <n v="85.45"/>
    <n v="8.6199999999999992"/>
    <s v="Sprinkler"/>
    <x v="1"/>
    <n v="8.0500000000000007"/>
    <d v="2024-03-24T00:00:00"/>
    <d v="2024-06-29T00:00:00"/>
    <x v="1"/>
    <n v="97"/>
    <n v="2736.54"/>
    <s v="SENS0271"/>
    <d v="2024-04-11T00:00:00"/>
    <n v="28.176988000000001"/>
    <n v="85.308700000000002"/>
    <n v="0.83"/>
    <x v="2"/>
    <n v="97"/>
    <s v="Low"/>
    <s v="Low Usage"/>
  </r>
  <r>
    <s v="FARM0272"/>
    <x v="1"/>
    <x v="2"/>
    <n v="25.51"/>
    <n v="7.37"/>
    <n v="32.880000000000003"/>
    <n v="283.31"/>
    <n v="53.69"/>
    <n v="8.67"/>
    <s v="Drip"/>
    <x v="0"/>
    <n v="13.31"/>
    <d v="2024-03-20T00:00:00"/>
    <d v="2024-07-05T00:00:00"/>
    <x v="2"/>
    <n v="107"/>
    <n v="4422.42"/>
    <s v="SENS0272"/>
    <d v="2024-06-06T00:00:00"/>
    <n v="15.772784"/>
    <n v="74.643651000000006"/>
    <n v="0.71"/>
    <x v="3"/>
    <n v="107"/>
    <s v="Medium"/>
    <s v="Low Usage"/>
  </r>
  <r>
    <s v="FARM0273"/>
    <x v="0"/>
    <x v="3"/>
    <n v="14.69"/>
    <n v="7.19"/>
    <n v="24.38"/>
    <n v="212.39"/>
    <n v="49.2"/>
    <n v="6.32"/>
    <s v="None"/>
    <x v="0"/>
    <n v="12.37"/>
    <d v="2024-01-02T00:00:00"/>
    <d v="2024-04-27T00:00:00"/>
    <x v="3"/>
    <n v="116"/>
    <n v="5058.16"/>
    <s v="SENS0273"/>
    <d v="2024-01-03T00:00:00"/>
    <n v="33.135877000000001"/>
    <n v="89.003961000000004"/>
    <n v="0.43"/>
    <x v="0"/>
    <n v="116"/>
    <s v="Medium"/>
    <s v="Low Usage"/>
  </r>
  <r>
    <s v="FARM0274"/>
    <x v="4"/>
    <x v="0"/>
    <n v="16.2"/>
    <n v="7.41"/>
    <n v="23.79"/>
    <n v="204.26"/>
    <n v="74.39"/>
    <n v="9.1999999999999993"/>
    <s v="Sprinkler"/>
    <x v="1"/>
    <n v="23.22"/>
    <d v="2024-01-20T00:00:00"/>
    <d v="2024-06-05T00:00:00"/>
    <x v="1"/>
    <n v="137"/>
    <n v="5297.31"/>
    <s v="SENS0274"/>
    <d v="2024-04-09T00:00:00"/>
    <n v="19.853767999999999"/>
    <n v="88.782782999999995"/>
    <n v="0.64"/>
    <x v="1"/>
    <n v="137"/>
    <s v="High"/>
    <s v="Medium Usage"/>
  </r>
  <r>
    <s v="FARM0275"/>
    <x v="3"/>
    <x v="0"/>
    <n v="25.81"/>
    <n v="7.15"/>
    <n v="15.85"/>
    <n v="298.95999999999998"/>
    <n v="65.94"/>
    <n v="6.37"/>
    <s v="Drip"/>
    <x v="2"/>
    <n v="22.43"/>
    <d v="2024-03-02T00:00:00"/>
    <d v="2024-06-12T00:00:00"/>
    <x v="1"/>
    <n v="102"/>
    <n v="3164.72"/>
    <s v="SENS0275"/>
    <d v="2024-04-21T00:00:00"/>
    <n v="32.109938999999997"/>
    <n v="85.47354"/>
    <n v="0.47"/>
    <x v="0"/>
    <n v="102"/>
    <s v="Medium"/>
    <s v="Medium Usage"/>
  </r>
  <r>
    <s v="FARM0276"/>
    <x v="1"/>
    <x v="2"/>
    <n v="31.46"/>
    <n v="5.61"/>
    <n v="25.34"/>
    <n v="85.56"/>
    <n v="81.489999999999995"/>
    <n v="6.71"/>
    <s v="Drip"/>
    <x v="0"/>
    <n v="40.04"/>
    <d v="2024-03-18T00:00:00"/>
    <d v="2024-06-24T00:00:00"/>
    <x v="1"/>
    <n v="98"/>
    <n v="3572.27"/>
    <s v="SENS0276"/>
    <d v="2024-04-28T00:00:00"/>
    <n v="21.272145999999999"/>
    <n v="73.577572000000004"/>
    <n v="0.65"/>
    <x v="0"/>
    <n v="98"/>
    <s v="Medium"/>
    <s v="High Usage"/>
  </r>
  <r>
    <s v="FARM0277"/>
    <x v="1"/>
    <x v="0"/>
    <n v="18.75"/>
    <n v="6.88"/>
    <n v="33.14"/>
    <n v="249.12"/>
    <n v="75.92"/>
    <n v="4.74"/>
    <s v="Drip"/>
    <x v="2"/>
    <n v="25.22"/>
    <d v="2024-02-03T00:00:00"/>
    <d v="2024-06-05T00:00:00"/>
    <x v="1"/>
    <n v="123"/>
    <n v="4829.12"/>
    <s v="SENS0277"/>
    <d v="2024-05-06T00:00:00"/>
    <n v="29.776665000000001"/>
    <n v="80.233328999999998"/>
    <n v="0.87"/>
    <x v="2"/>
    <n v="123"/>
    <s v="Medium"/>
    <s v="Medium Usage"/>
  </r>
  <r>
    <s v="FARM0278"/>
    <x v="3"/>
    <x v="3"/>
    <n v="11.54"/>
    <n v="5.84"/>
    <n v="21.7"/>
    <n v="267.83"/>
    <n v="83.13"/>
    <n v="4.97"/>
    <s v="Sprinkler"/>
    <x v="0"/>
    <n v="39.61"/>
    <d v="2024-01-14T00:00:00"/>
    <d v="2024-05-02T00:00:00"/>
    <x v="0"/>
    <n v="109"/>
    <n v="3238.07"/>
    <s v="SENS0278"/>
    <d v="2024-04-21T00:00:00"/>
    <n v="34.024152999999998"/>
    <n v="75.775610999999998"/>
    <n v="0.41"/>
    <x v="0"/>
    <n v="109"/>
    <s v="Medium"/>
    <s v="High Usage"/>
  </r>
  <r>
    <s v="FARM0279"/>
    <x v="4"/>
    <x v="0"/>
    <n v="31.79"/>
    <n v="6.01"/>
    <n v="24.17"/>
    <n v="263.85000000000002"/>
    <n v="67.180000000000007"/>
    <n v="4.03"/>
    <s v="None"/>
    <x v="0"/>
    <n v="14.76"/>
    <d v="2024-03-16T00:00:00"/>
    <d v="2024-07-13T00:00:00"/>
    <x v="2"/>
    <n v="119"/>
    <n v="3640.61"/>
    <s v="SENS0279"/>
    <d v="2024-03-26T00:00:00"/>
    <n v="25.030414"/>
    <n v="70.131460000000004"/>
    <n v="0.83"/>
    <x v="3"/>
    <n v="119"/>
    <s v="Medium"/>
    <s v="Low Usage"/>
  </r>
  <r>
    <s v="FARM0280"/>
    <x v="3"/>
    <x v="1"/>
    <n v="38.700000000000003"/>
    <n v="5.92"/>
    <n v="18.7"/>
    <n v="63.77"/>
    <n v="57.45"/>
    <n v="4.87"/>
    <s v="Drip"/>
    <x v="2"/>
    <n v="31.01"/>
    <d v="2024-03-10T00:00:00"/>
    <d v="2024-06-29T00:00:00"/>
    <x v="1"/>
    <n v="111"/>
    <n v="5681.54"/>
    <s v="SENS0280"/>
    <d v="2024-03-16T00:00:00"/>
    <n v="12.722191"/>
    <n v="89.874703999999994"/>
    <n v="0.4"/>
    <x v="3"/>
    <n v="111"/>
    <s v="High"/>
    <s v="Medium Usage"/>
  </r>
  <r>
    <s v="FARM0281"/>
    <x v="3"/>
    <x v="1"/>
    <n v="30.03"/>
    <n v="6.62"/>
    <n v="34.33"/>
    <n v="237.33"/>
    <n v="58.01"/>
    <n v="4.22"/>
    <s v="Manual"/>
    <x v="1"/>
    <n v="21.59"/>
    <d v="2024-02-27T00:00:00"/>
    <d v="2024-05-31T00:00:00"/>
    <x v="0"/>
    <n v="94"/>
    <n v="5033.7700000000004"/>
    <s v="SENS0281"/>
    <d v="2024-05-07T00:00:00"/>
    <n v="11.623146999999999"/>
    <n v="79.416336999999999"/>
    <n v="0.37"/>
    <x v="3"/>
    <n v="94"/>
    <s v="Medium"/>
    <s v="Medium Usage"/>
  </r>
  <r>
    <s v="FARM0282"/>
    <x v="2"/>
    <x v="1"/>
    <n v="24.48"/>
    <n v="5.92"/>
    <n v="19.18"/>
    <n v="64.55"/>
    <n v="68.569999999999993"/>
    <n v="9.8800000000000008"/>
    <s v="Drip"/>
    <x v="1"/>
    <n v="37.58"/>
    <d v="2024-03-26T00:00:00"/>
    <d v="2024-08-08T00:00:00"/>
    <x v="4"/>
    <n v="135"/>
    <n v="3148.75"/>
    <s v="SENS0282"/>
    <d v="2024-06-15T00:00:00"/>
    <n v="16.491501"/>
    <n v="81.502853999999999"/>
    <n v="0.67"/>
    <x v="0"/>
    <n v="135"/>
    <s v="Medium"/>
    <s v="Medium Usage"/>
  </r>
  <r>
    <s v="FARM0283"/>
    <x v="3"/>
    <x v="1"/>
    <n v="27.37"/>
    <n v="6.96"/>
    <n v="24.95"/>
    <n v="252"/>
    <n v="84.18"/>
    <n v="5.4"/>
    <s v="Manual"/>
    <x v="0"/>
    <n v="5.07"/>
    <d v="2024-01-15T00:00:00"/>
    <d v="2024-05-24T00:00:00"/>
    <x v="0"/>
    <n v="130"/>
    <n v="5186.93"/>
    <s v="SENS0283"/>
    <d v="2024-03-08T00:00:00"/>
    <n v="29.989108999999999"/>
    <n v="89.979740000000007"/>
    <n v="0.55000000000000004"/>
    <x v="3"/>
    <n v="130"/>
    <s v="High"/>
    <s v="Low Usage"/>
  </r>
  <r>
    <s v="FARM0284"/>
    <x v="2"/>
    <x v="1"/>
    <n v="38.21"/>
    <n v="5.92"/>
    <n v="27.81"/>
    <n v="222.5"/>
    <n v="52.72"/>
    <n v="4.41"/>
    <s v="Manual"/>
    <x v="2"/>
    <n v="29.75"/>
    <d v="2024-01-04T00:00:00"/>
    <d v="2024-05-16T00:00:00"/>
    <x v="0"/>
    <n v="133"/>
    <n v="3333.13"/>
    <s v="SENS0284"/>
    <d v="2024-04-14T00:00:00"/>
    <n v="28.109915999999998"/>
    <n v="82.319867000000002"/>
    <n v="0.32"/>
    <x v="0"/>
    <n v="133"/>
    <s v="Medium"/>
    <s v="Medium Usage"/>
  </r>
  <r>
    <s v="FARM0285"/>
    <x v="4"/>
    <x v="2"/>
    <n v="39.18"/>
    <n v="7.34"/>
    <n v="24.58"/>
    <n v="168.63"/>
    <n v="41.78"/>
    <n v="4.8099999999999996"/>
    <s v="Sprinkler"/>
    <x v="2"/>
    <n v="25.73"/>
    <d v="2024-03-11T00:00:00"/>
    <d v="2024-07-08T00:00:00"/>
    <x v="2"/>
    <n v="119"/>
    <n v="5135.96"/>
    <s v="SENS0285"/>
    <d v="2024-05-02T00:00:00"/>
    <n v="33.194749000000002"/>
    <n v="71.120446000000001"/>
    <n v="0.61"/>
    <x v="3"/>
    <n v="119"/>
    <s v="High"/>
    <s v="Medium Usage"/>
  </r>
  <r>
    <s v="FARM0286"/>
    <x v="3"/>
    <x v="1"/>
    <n v="10.66"/>
    <n v="6.65"/>
    <n v="21.63"/>
    <n v="279.05"/>
    <n v="79.790000000000006"/>
    <n v="4.4000000000000004"/>
    <s v="Sprinkler"/>
    <x v="1"/>
    <n v="42.83"/>
    <d v="2024-02-13T00:00:00"/>
    <d v="2024-06-22T00:00:00"/>
    <x v="1"/>
    <n v="130"/>
    <n v="4137.09"/>
    <s v="SENS0286"/>
    <d v="2024-03-26T00:00:00"/>
    <n v="24.274540999999999"/>
    <n v="77.791325000000001"/>
    <n v="0.66"/>
    <x v="3"/>
    <n v="130"/>
    <s v="Medium"/>
    <s v="High Usage"/>
  </r>
  <r>
    <s v="FARM0287"/>
    <x v="2"/>
    <x v="0"/>
    <n v="19.5"/>
    <n v="5.67"/>
    <n v="32.54"/>
    <n v="142.9"/>
    <n v="81.47"/>
    <n v="5.82"/>
    <s v="Manual"/>
    <x v="0"/>
    <n v="10.050000000000001"/>
    <d v="2024-01-25T00:00:00"/>
    <d v="2024-05-06T00:00:00"/>
    <x v="0"/>
    <n v="102"/>
    <n v="5653.42"/>
    <s v="SENS0287"/>
    <d v="2024-03-21T00:00:00"/>
    <n v="22.649867"/>
    <n v="85.980506000000005"/>
    <n v="0.84"/>
    <x v="0"/>
    <n v="102"/>
    <s v="High"/>
    <s v="Low Usage"/>
  </r>
  <r>
    <s v="FARM0288"/>
    <x v="4"/>
    <x v="2"/>
    <n v="42.33"/>
    <n v="6.96"/>
    <n v="25.47"/>
    <n v="243.88"/>
    <n v="47.16"/>
    <n v="9.23"/>
    <s v="Sprinkler"/>
    <x v="0"/>
    <n v="37.61"/>
    <d v="2024-02-13T00:00:00"/>
    <d v="2024-06-27T00:00:00"/>
    <x v="1"/>
    <n v="135"/>
    <n v="5459.24"/>
    <s v="SENS0288"/>
    <d v="2024-03-13T00:00:00"/>
    <n v="10.102747000000001"/>
    <n v="88.646747000000005"/>
    <n v="0.71"/>
    <x v="1"/>
    <n v="135"/>
    <s v="High"/>
    <s v="Medium Usage"/>
  </r>
  <r>
    <s v="FARM0289"/>
    <x v="2"/>
    <x v="3"/>
    <n v="41.12"/>
    <n v="5.71"/>
    <n v="30.32"/>
    <n v="236.39"/>
    <n v="41.12"/>
    <n v="8.5500000000000007"/>
    <s v="Sprinkler"/>
    <x v="1"/>
    <n v="14.02"/>
    <d v="2024-02-09T00:00:00"/>
    <d v="2024-06-12T00:00:00"/>
    <x v="1"/>
    <n v="124"/>
    <n v="3276.6"/>
    <s v="SENS0289"/>
    <d v="2024-04-05T00:00:00"/>
    <n v="26.778100999999999"/>
    <n v="75.453084000000004"/>
    <n v="0.39"/>
    <x v="1"/>
    <n v="124"/>
    <s v="Medium"/>
    <s v="Low Usage"/>
  </r>
  <r>
    <s v="FARM0290"/>
    <x v="0"/>
    <x v="1"/>
    <n v="29.59"/>
    <n v="5.7"/>
    <n v="25.85"/>
    <n v="187.34"/>
    <n v="53.55"/>
    <n v="9.66"/>
    <s v="Manual"/>
    <x v="2"/>
    <n v="16.02"/>
    <d v="2024-01-10T00:00:00"/>
    <d v="2024-05-18T00:00:00"/>
    <x v="0"/>
    <n v="129"/>
    <n v="5568.97"/>
    <s v="SENS0290"/>
    <d v="2024-05-02T00:00:00"/>
    <n v="11.268155"/>
    <n v="70.579853999999997"/>
    <n v="0.84"/>
    <x v="1"/>
    <n v="129"/>
    <s v="High"/>
    <s v="Medium Usage"/>
  </r>
  <r>
    <s v="FARM0291"/>
    <x v="0"/>
    <x v="3"/>
    <n v="11.88"/>
    <n v="6.35"/>
    <n v="18.579999999999998"/>
    <n v="199.03"/>
    <n v="69.64"/>
    <n v="9.02"/>
    <s v="None"/>
    <x v="2"/>
    <n v="21"/>
    <d v="2024-02-27T00:00:00"/>
    <d v="2024-06-08T00:00:00"/>
    <x v="1"/>
    <n v="102"/>
    <n v="4851.59"/>
    <s v="SENS0291"/>
    <d v="2024-05-22T00:00:00"/>
    <n v="30.232496000000001"/>
    <n v="71.570912000000007"/>
    <n v="0.85"/>
    <x v="2"/>
    <n v="102"/>
    <s v="Medium"/>
    <s v="Medium Usage"/>
  </r>
  <r>
    <s v="FARM0292"/>
    <x v="3"/>
    <x v="4"/>
    <n v="13.25"/>
    <n v="7.1"/>
    <n v="28.97"/>
    <n v="74.319999999999993"/>
    <n v="55.52"/>
    <n v="7.87"/>
    <s v="None"/>
    <x v="1"/>
    <n v="15.43"/>
    <d v="2024-01-05T00:00:00"/>
    <d v="2024-05-29T00:00:00"/>
    <x v="0"/>
    <n v="145"/>
    <n v="5582.8"/>
    <s v="SENS0292"/>
    <d v="2024-03-11T00:00:00"/>
    <n v="32.821539999999999"/>
    <n v="77.841538"/>
    <n v="0.72"/>
    <x v="3"/>
    <n v="145"/>
    <s v="High"/>
    <s v="Medium Usage"/>
  </r>
  <r>
    <s v="FARM0293"/>
    <x v="2"/>
    <x v="3"/>
    <n v="27.06"/>
    <n v="5.63"/>
    <n v="17.260000000000002"/>
    <n v="169.66"/>
    <n v="82.29"/>
    <n v="5.69"/>
    <s v="Manual"/>
    <x v="2"/>
    <n v="30.86"/>
    <d v="2024-03-04T00:00:00"/>
    <d v="2024-06-27T00:00:00"/>
    <x v="1"/>
    <n v="115"/>
    <n v="5270.21"/>
    <s v="SENS0293"/>
    <d v="2024-06-13T00:00:00"/>
    <n v="12.674531999999999"/>
    <n v="81.122996999999998"/>
    <n v="0.34"/>
    <x v="3"/>
    <n v="115"/>
    <s v="High"/>
    <s v="Medium Usage"/>
  </r>
  <r>
    <s v="FARM0294"/>
    <x v="3"/>
    <x v="3"/>
    <n v="24.03"/>
    <n v="6.33"/>
    <n v="27.42"/>
    <n v="186.99"/>
    <n v="88.69"/>
    <n v="6.3"/>
    <s v="Manual"/>
    <x v="0"/>
    <n v="41.63"/>
    <d v="2024-03-14T00:00:00"/>
    <d v="2024-08-01T00:00:00"/>
    <x v="4"/>
    <n v="140"/>
    <n v="5920.82"/>
    <s v="SENS0294"/>
    <d v="2024-06-09T00:00:00"/>
    <n v="23.613171999999999"/>
    <n v="74.723085999999995"/>
    <n v="0.7"/>
    <x v="1"/>
    <n v="140"/>
    <s v="High"/>
    <s v="High Usage"/>
  </r>
  <r>
    <s v="FARM0295"/>
    <x v="3"/>
    <x v="3"/>
    <n v="14"/>
    <n v="6.69"/>
    <n v="21.51"/>
    <n v="74.41"/>
    <n v="62.26"/>
    <n v="5.85"/>
    <s v="None"/>
    <x v="0"/>
    <n v="31.92"/>
    <d v="2024-03-27T00:00:00"/>
    <d v="2024-08-02T00:00:00"/>
    <x v="4"/>
    <n v="128"/>
    <n v="5085.37"/>
    <s v="SENS0295"/>
    <d v="2024-07-02T00:00:00"/>
    <n v="18.185206000000001"/>
    <n v="82.899782000000002"/>
    <n v="0.34"/>
    <x v="0"/>
    <n v="128"/>
    <s v="High"/>
    <s v="Medium Usage"/>
  </r>
  <r>
    <s v="FARM0296"/>
    <x v="4"/>
    <x v="1"/>
    <n v="41.61"/>
    <n v="6.77"/>
    <n v="15"/>
    <n v="86.68"/>
    <n v="47.46"/>
    <n v="7.19"/>
    <s v="None"/>
    <x v="2"/>
    <n v="31.01"/>
    <d v="2024-01-07T00:00:00"/>
    <d v="2024-05-19T00:00:00"/>
    <x v="0"/>
    <n v="133"/>
    <n v="5509.7"/>
    <s v="SENS0296"/>
    <d v="2024-03-23T00:00:00"/>
    <n v="24.256910000000001"/>
    <n v="88.264084999999994"/>
    <n v="0.48"/>
    <x v="2"/>
    <n v="133"/>
    <s v="High"/>
    <s v="Medium Usage"/>
  </r>
  <r>
    <s v="FARM0297"/>
    <x v="2"/>
    <x v="0"/>
    <n v="30.4"/>
    <n v="6.72"/>
    <n v="25.21"/>
    <n v="261.91000000000003"/>
    <n v="82.63"/>
    <n v="4.37"/>
    <s v="Drip"/>
    <x v="0"/>
    <n v="36.65"/>
    <d v="2024-02-04T00:00:00"/>
    <d v="2024-06-28T00:00:00"/>
    <x v="1"/>
    <n v="145"/>
    <n v="3128.84"/>
    <s v="SENS0297"/>
    <d v="2024-02-11T00:00:00"/>
    <n v="15.881029"/>
    <n v="84.044438"/>
    <n v="0.54"/>
    <x v="3"/>
    <n v="145"/>
    <s v="Medium"/>
    <s v="Medium Usage"/>
  </r>
  <r>
    <s v="FARM0298"/>
    <x v="1"/>
    <x v="3"/>
    <n v="23.35"/>
    <n v="6.59"/>
    <n v="28.25"/>
    <n v="168.72"/>
    <n v="49.41"/>
    <n v="6.31"/>
    <s v="Manual"/>
    <x v="1"/>
    <n v="11.94"/>
    <d v="2024-03-05T00:00:00"/>
    <d v="2024-06-11T00:00:00"/>
    <x v="1"/>
    <n v="98"/>
    <n v="2046.41"/>
    <s v="SENS0298"/>
    <d v="2024-05-26T00:00:00"/>
    <n v="10.392695"/>
    <n v="84.426784999999995"/>
    <n v="0.59"/>
    <x v="2"/>
    <n v="98"/>
    <s v="Low"/>
    <s v="Low Usage"/>
  </r>
  <r>
    <s v="FARM0299"/>
    <x v="4"/>
    <x v="0"/>
    <n v="14.8"/>
    <n v="7.11"/>
    <n v="32.200000000000003"/>
    <n v="273.39999999999998"/>
    <n v="74.77"/>
    <n v="9.58"/>
    <s v="Sprinkler"/>
    <x v="1"/>
    <n v="27.92"/>
    <d v="2024-03-27T00:00:00"/>
    <d v="2024-07-23T00:00:00"/>
    <x v="2"/>
    <n v="118"/>
    <n v="3538.86"/>
    <s v="SENS0299"/>
    <d v="2024-04-24T00:00:00"/>
    <n v="14.644776"/>
    <n v="82.091464999999999"/>
    <n v="0.65"/>
    <x v="0"/>
    <n v="118"/>
    <s v="Medium"/>
    <s v="Medium Usage"/>
  </r>
  <r>
    <s v="FARM0300"/>
    <x v="3"/>
    <x v="2"/>
    <n v="24.38"/>
    <n v="6.59"/>
    <n v="22.34"/>
    <n v="294.56"/>
    <n v="68.41"/>
    <n v="8.23"/>
    <s v="Drip"/>
    <x v="2"/>
    <n v="26.67"/>
    <d v="2024-03-03T00:00:00"/>
    <d v="2024-06-10T00:00:00"/>
    <x v="1"/>
    <n v="99"/>
    <n v="4920.74"/>
    <s v="SENS0300"/>
    <d v="2024-05-09T00:00:00"/>
    <n v="34.589477000000002"/>
    <n v="89.673367999999996"/>
    <n v="0.77"/>
    <x v="2"/>
    <n v="99"/>
    <s v="Medium"/>
    <s v="Medium Usage"/>
  </r>
  <r>
    <s v="FARM0301"/>
    <x v="3"/>
    <x v="0"/>
    <n v="28.32"/>
    <n v="6.72"/>
    <n v="19.899999999999999"/>
    <n v="207.67"/>
    <n v="73.19"/>
    <n v="8.01"/>
    <s v="Manual"/>
    <x v="2"/>
    <n v="7.37"/>
    <d v="2024-02-18T00:00:00"/>
    <d v="2024-07-06T00:00:00"/>
    <x v="2"/>
    <n v="139"/>
    <n v="2043.13"/>
    <s v="SENS0301"/>
    <d v="2024-06-13T00:00:00"/>
    <n v="22.816578"/>
    <n v="79.384647999999999"/>
    <n v="0.74"/>
    <x v="2"/>
    <n v="139"/>
    <s v="Low"/>
    <s v="Low Usage"/>
  </r>
  <r>
    <s v="FARM0302"/>
    <x v="2"/>
    <x v="2"/>
    <n v="20.12"/>
    <n v="5.57"/>
    <n v="33.46"/>
    <n v="237.36"/>
    <n v="76.349999999999994"/>
    <n v="7.38"/>
    <s v="Drip"/>
    <x v="2"/>
    <n v="26.29"/>
    <d v="2024-01-19T00:00:00"/>
    <d v="2024-04-21T00:00:00"/>
    <x v="3"/>
    <n v="93"/>
    <n v="4625.28"/>
    <s v="SENS0302"/>
    <d v="2024-02-25T00:00:00"/>
    <n v="30.222394000000001"/>
    <n v="82.486339999999998"/>
    <n v="0.47"/>
    <x v="1"/>
    <n v="93"/>
    <s v="Medium"/>
    <s v="Medium Usage"/>
  </r>
  <r>
    <s v="FARM0303"/>
    <x v="4"/>
    <x v="1"/>
    <n v="12.69"/>
    <n v="7.07"/>
    <n v="20.04"/>
    <n v="203.95"/>
    <n v="53.76"/>
    <n v="5.54"/>
    <s v="Drip"/>
    <x v="2"/>
    <n v="12.86"/>
    <d v="2024-03-24T00:00:00"/>
    <d v="2024-07-01T00:00:00"/>
    <x v="2"/>
    <n v="99"/>
    <n v="4636.62"/>
    <s v="SENS0303"/>
    <d v="2024-05-10T00:00:00"/>
    <n v="30.196017000000001"/>
    <n v="75.225052000000005"/>
    <n v="0.72"/>
    <x v="2"/>
    <n v="99"/>
    <s v="Medium"/>
    <s v="Low Usage"/>
  </r>
  <r>
    <s v="FARM0304"/>
    <x v="4"/>
    <x v="1"/>
    <n v="40.17"/>
    <n v="6.19"/>
    <n v="16.690000000000001"/>
    <n v="86.27"/>
    <n v="86.7"/>
    <n v="4.92"/>
    <s v="None"/>
    <x v="1"/>
    <n v="39.67"/>
    <d v="2024-01-22T00:00:00"/>
    <d v="2024-05-19T00:00:00"/>
    <x v="0"/>
    <n v="118"/>
    <n v="4904"/>
    <s v="SENS0304"/>
    <d v="2024-02-12T00:00:00"/>
    <n v="15.271419"/>
    <n v="84.687222000000006"/>
    <n v="0.51"/>
    <x v="3"/>
    <n v="118"/>
    <s v="Medium"/>
    <s v="High Usage"/>
  </r>
  <r>
    <s v="FARM0305"/>
    <x v="0"/>
    <x v="0"/>
    <n v="15.87"/>
    <n v="6.3"/>
    <n v="21.03"/>
    <n v="236.54"/>
    <n v="77.62"/>
    <n v="7.2"/>
    <s v="None"/>
    <x v="2"/>
    <n v="36.75"/>
    <d v="2024-02-09T00:00:00"/>
    <d v="2024-05-18T00:00:00"/>
    <x v="0"/>
    <n v="99"/>
    <n v="4121.7700000000004"/>
    <s v="SENS0305"/>
    <d v="2024-04-04T00:00:00"/>
    <n v="10.296576"/>
    <n v="88.544450999999995"/>
    <n v="0.56999999999999995"/>
    <x v="3"/>
    <n v="99"/>
    <s v="Medium"/>
    <s v="Medium Usage"/>
  </r>
  <r>
    <s v="FARM0306"/>
    <x v="3"/>
    <x v="0"/>
    <n v="13.41"/>
    <n v="6.56"/>
    <n v="22.08"/>
    <n v="261.06"/>
    <n v="70.52"/>
    <n v="7.91"/>
    <s v="Manual"/>
    <x v="1"/>
    <n v="17.16"/>
    <d v="2024-01-09T00:00:00"/>
    <d v="2024-05-19T00:00:00"/>
    <x v="0"/>
    <n v="131"/>
    <n v="4336.71"/>
    <s v="SENS0306"/>
    <d v="2024-05-06T00:00:00"/>
    <n v="29.328775"/>
    <n v="84.981818000000004"/>
    <n v="0.74"/>
    <x v="0"/>
    <n v="131"/>
    <s v="Medium"/>
    <s v="Medium Usage"/>
  </r>
  <r>
    <s v="FARM0307"/>
    <x v="3"/>
    <x v="2"/>
    <n v="33.72"/>
    <n v="7.49"/>
    <n v="21.27"/>
    <n v="52.64"/>
    <n v="40.42"/>
    <n v="4.41"/>
    <s v="None"/>
    <x v="0"/>
    <n v="28.64"/>
    <d v="2024-03-15T00:00:00"/>
    <d v="2024-07-05T00:00:00"/>
    <x v="2"/>
    <n v="112"/>
    <n v="2877.67"/>
    <s v="SENS0307"/>
    <d v="2024-04-20T00:00:00"/>
    <n v="16.297402999999999"/>
    <n v="70.680835000000002"/>
    <n v="0.67"/>
    <x v="1"/>
    <n v="112"/>
    <s v="Low"/>
    <s v="Medium Usage"/>
  </r>
  <r>
    <s v="FARM0308"/>
    <x v="3"/>
    <x v="4"/>
    <n v="43.27"/>
    <n v="6.78"/>
    <n v="29.16"/>
    <n v="79.989999999999995"/>
    <n v="82.82"/>
    <n v="4.78"/>
    <s v="Sprinkler"/>
    <x v="0"/>
    <n v="36.299999999999997"/>
    <d v="2024-02-10T00:00:00"/>
    <d v="2024-06-08T00:00:00"/>
    <x v="1"/>
    <n v="119"/>
    <n v="4641.91"/>
    <s v="SENS0308"/>
    <d v="2024-02-19T00:00:00"/>
    <n v="25.969512999999999"/>
    <n v="88.453907999999998"/>
    <n v="0.47"/>
    <x v="2"/>
    <n v="119"/>
    <s v="Medium"/>
    <s v="Medium Usage"/>
  </r>
  <r>
    <s v="FARM0309"/>
    <x v="2"/>
    <x v="2"/>
    <n v="15.67"/>
    <n v="5.65"/>
    <n v="30.54"/>
    <n v="145.69999999999999"/>
    <n v="56.63"/>
    <n v="4.3600000000000003"/>
    <s v="Manual"/>
    <x v="0"/>
    <n v="24.83"/>
    <d v="2024-02-07T00:00:00"/>
    <d v="2024-06-15T00:00:00"/>
    <x v="1"/>
    <n v="129"/>
    <n v="3570.54"/>
    <s v="SENS0309"/>
    <d v="2024-06-11T00:00:00"/>
    <n v="12.710762000000001"/>
    <n v="80.812642999999994"/>
    <n v="0.56000000000000005"/>
    <x v="1"/>
    <n v="129"/>
    <s v="Medium"/>
    <s v="Medium Usage"/>
  </r>
  <r>
    <s v="FARM0310"/>
    <x v="1"/>
    <x v="2"/>
    <n v="13.62"/>
    <n v="5.65"/>
    <n v="26.43"/>
    <n v="112.65"/>
    <n v="62.29"/>
    <n v="9.3800000000000008"/>
    <s v="Sprinkler"/>
    <x v="2"/>
    <n v="33.82"/>
    <d v="2024-01-22T00:00:00"/>
    <d v="2024-05-15T00:00:00"/>
    <x v="0"/>
    <n v="114"/>
    <n v="3065.75"/>
    <s v="SENS0310"/>
    <d v="2024-04-20T00:00:00"/>
    <n v="18.245771999999999"/>
    <n v="77.826606999999996"/>
    <n v="0.3"/>
    <x v="2"/>
    <n v="114"/>
    <s v="Medium"/>
    <s v="Medium Usage"/>
  </r>
  <r>
    <s v="FARM0311"/>
    <x v="1"/>
    <x v="3"/>
    <n v="24.14"/>
    <n v="6.96"/>
    <n v="31.25"/>
    <n v="67.52"/>
    <n v="51.29"/>
    <n v="6.31"/>
    <s v="None"/>
    <x v="0"/>
    <n v="30.53"/>
    <d v="2024-02-11T00:00:00"/>
    <d v="2024-06-23T00:00:00"/>
    <x v="1"/>
    <n v="133"/>
    <n v="3211.31"/>
    <s v="SENS0311"/>
    <d v="2024-02-25T00:00:00"/>
    <n v="25.806812999999998"/>
    <n v="89.176478000000003"/>
    <n v="0.35"/>
    <x v="3"/>
    <n v="133"/>
    <s v="Medium"/>
    <s v="Medium Usage"/>
  </r>
  <r>
    <s v="FARM0312"/>
    <x v="0"/>
    <x v="3"/>
    <n v="36.619999999999997"/>
    <n v="6.08"/>
    <n v="19.059999999999999"/>
    <n v="188.62"/>
    <n v="88.38"/>
    <n v="7.96"/>
    <s v="Manual"/>
    <x v="2"/>
    <n v="22.55"/>
    <d v="2024-01-21T00:00:00"/>
    <d v="2024-06-03T00:00:00"/>
    <x v="1"/>
    <n v="134"/>
    <n v="3437.04"/>
    <s v="SENS0312"/>
    <d v="2024-02-11T00:00:00"/>
    <n v="32.130353999999997"/>
    <n v="78.759675000000001"/>
    <n v="0.41"/>
    <x v="1"/>
    <n v="134"/>
    <s v="Medium"/>
    <s v="Medium Usage"/>
  </r>
  <r>
    <s v="FARM0313"/>
    <x v="4"/>
    <x v="0"/>
    <n v="35.19"/>
    <n v="6.69"/>
    <n v="24.78"/>
    <n v="65.75"/>
    <n v="67.03"/>
    <n v="5.85"/>
    <s v="None"/>
    <x v="0"/>
    <n v="6.67"/>
    <d v="2024-01-11T00:00:00"/>
    <d v="2024-05-30T00:00:00"/>
    <x v="0"/>
    <n v="140"/>
    <n v="4884.05"/>
    <s v="SENS0313"/>
    <d v="2024-04-23T00:00:00"/>
    <n v="12.954677999999999"/>
    <n v="86.142073999999994"/>
    <n v="0.7"/>
    <x v="2"/>
    <n v="140"/>
    <s v="Medium"/>
    <s v="Low Usage"/>
  </r>
  <r>
    <s v="FARM0314"/>
    <x v="3"/>
    <x v="4"/>
    <n v="35.94"/>
    <n v="5.97"/>
    <n v="16.440000000000001"/>
    <n v="233.86"/>
    <n v="64.44"/>
    <n v="4.1100000000000003"/>
    <s v="Drip"/>
    <x v="0"/>
    <n v="36.56"/>
    <d v="2024-01-01T00:00:00"/>
    <d v="2024-04-11T00:00:00"/>
    <x v="3"/>
    <n v="101"/>
    <n v="4530.6499999999996"/>
    <s v="SENS0314"/>
    <d v="2024-02-09T00:00:00"/>
    <n v="30.518481000000001"/>
    <n v="71.945845000000006"/>
    <n v="0.67"/>
    <x v="1"/>
    <n v="101"/>
    <s v="Medium"/>
    <s v="Medium Usage"/>
  </r>
  <r>
    <s v="FARM0315"/>
    <x v="0"/>
    <x v="0"/>
    <n v="27.4"/>
    <n v="7.1"/>
    <n v="19.41"/>
    <n v="251.11"/>
    <n v="61.31"/>
    <n v="8.8699999999999992"/>
    <s v="None"/>
    <x v="1"/>
    <n v="10.44"/>
    <d v="2024-03-19T00:00:00"/>
    <d v="2024-07-21T00:00:00"/>
    <x v="2"/>
    <n v="124"/>
    <n v="2549.3200000000002"/>
    <s v="SENS0315"/>
    <d v="2024-07-04T00:00:00"/>
    <n v="34.117310000000003"/>
    <n v="74.264636999999993"/>
    <n v="0.33"/>
    <x v="0"/>
    <n v="124"/>
    <s v="Low"/>
    <s v="Low Usage"/>
  </r>
  <r>
    <s v="FARM0316"/>
    <x v="2"/>
    <x v="0"/>
    <n v="14.23"/>
    <n v="5.78"/>
    <n v="23.3"/>
    <n v="224.07"/>
    <n v="67.67"/>
    <n v="6.63"/>
    <s v="Drip"/>
    <x v="0"/>
    <n v="9.5"/>
    <d v="2024-03-20T00:00:00"/>
    <d v="2024-07-12T00:00:00"/>
    <x v="2"/>
    <n v="114"/>
    <n v="5110.6499999999996"/>
    <s v="SENS0316"/>
    <d v="2024-03-22T00:00:00"/>
    <n v="31.990673999999999"/>
    <n v="71.614452"/>
    <n v="0.3"/>
    <x v="1"/>
    <n v="114"/>
    <s v="High"/>
    <s v="Low Usage"/>
  </r>
  <r>
    <s v="FARM0317"/>
    <x v="3"/>
    <x v="2"/>
    <n v="24.57"/>
    <n v="7.11"/>
    <n v="30.45"/>
    <n v="223.09"/>
    <n v="50.31"/>
    <n v="7.84"/>
    <s v="None"/>
    <x v="1"/>
    <n v="15.77"/>
    <d v="2024-01-20T00:00:00"/>
    <d v="2024-06-02T00:00:00"/>
    <x v="1"/>
    <n v="134"/>
    <n v="2150.48"/>
    <s v="SENS0317"/>
    <d v="2024-03-06T00:00:00"/>
    <n v="27.929969"/>
    <n v="82.240995999999996"/>
    <n v="0.35"/>
    <x v="3"/>
    <n v="134"/>
    <s v="Low"/>
    <s v="Medium Usage"/>
  </r>
  <r>
    <s v="FARM0318"/>
    <x v="2"/>
    <x v="3"/>
    <n v="10.16"/>
    <n v="5.97"/>
    <n v="17.350000000000001"/>
    <n v="182.55"/>
    <n v="44.78"/>
    <n v="6.17"/>
    <s v="Sprinkler"/>
    <x v="1"/>
    <n v="39.659999999999997"/>
    <d v="2024-03-07T00:00:00"/>
    <d v="2024-06-22T00:00:00"/>
    <x v="1"/>
    <n v="107"/>
    <n v="2212.2800000000002"/>
    <s v="SENS0318"/>
    <d v="2024-03-21T00:00:00"/>
    <n v="29.915323999999998"/>
    <n v="83.704875000000001"/>
    <n v="0.88"/>
    <x v="2"/>
    <n v="107"/>
    <s v="Low"/>
    <s v="High Usage"/>
  </r>
  <r>
    <s v="FARM0319"/>
    <x v="1"/>
    <x v="4"/>
    <n v="15.59"/>
    <n v="7.35"/>
    <n v="16.079999999999998"/>
    <n v="141.05000000000001"/>
    <n v="50.48"/>
    <n v="5.51"/>
    <s v="None"/>
    <x v="0"/>
    <n v="9.6999999999999993"/>
    <d v="2024-01-18T00:00:00"/>
    <d v="2024-04-28T00:00:00"/>
    <x v="3"/>
    <n v="101"/>
    <n v="2632.18"/>
    <s v="SENS0319"/>
    <d v="2024-01-21T00:00:00"/>
    <n v="22.126535000000001"/>
    <n v="72.321302000000003"/>
    <n v="0.84"/>
    <x v="2"/>
    <n v="101"/>
    <s v="Low"/>
    <s v="Low Usage"/>
  </r>
  <r>
    <s v="FARM0320"/>
    <x v="3"/>
    <x v="1"/>
    <n v="21.41"/>
    <n v="5.9"/>
    <n v="28.54"/>
    <n v="131.41999999999999"/>
    <n v="78.95"/>
    <n v="5.96"/>
    <s v="Drip"/>
    <x v="0"/>
    <n v="38.200000000000003"/>
    <d v="2024-01-13T00:00:00"/>
    <d v="2024-06-08T00:00:00"/>
    <x v="1"/>
    <n v="147"/>
    <n v="2882.65"/>
    <s v="SENS0320"/>
    <d v="2024-05-12T00:00:00"/>
    <n v="24.627306000000001"/>
    <n v="71.086787000000001"/>
    <n v="0.56000000000000005"/>
    <x v="0"/>
    <n v="147"/>
    <s v="Low"/>
    <s v="High Usage"/>
  </r>
  <r>
    <s v="FARM0321"/>
    <x v="3"/>
    <x v="3"/>
    <n v="16.23"/>
    <n v="6.25"/>
    <n v="24.15"/>
    <n v="98.54"/>
    <n v="57.93"/>
    <n v="5.62"/>
    <s v="Manual"/>
    <x v="0"/>
    <n v="6.44"/>
    <d v="2024-03-02T00:00:00"/>
    <d v="2024-06-17T00:00:00"/>
    <x v="1"/>
    <n v="107"/>
    <n v="2546.0100000000002"/>
    <s v="SENS0321"/>
    <d v="2024-04-30T00:00:00"/>
    <n v="21.464473000000002"/>
    <n v="73.424025999999998"/>
    <n v="0.51"/>
    <x v="3"/>
    <n v="107"/>
    <s v="Low"/>
    <s v="Low Usage"/>
  </r>
  <r>
    <s v="FARM0322"/>
    <x v="3"/>
    <x v="4"/>
    <n v="37.630000000000003"/>
    <n v="6.78"/>
    <n v="27.23"/>
    <n v="92.48"/>
    <n v="88.51"/>
    <n v="9.1300000000000008"/>
    <s v="Drip"/>
    <x v="1"/>
    <n v="43.56"/>
    <d v="2024-02-28T00:00:00"/>
    <d v="2024-06-10T00:00:00"/>
    <x v="1"/>
    <n v="103"/>
    <n v="4366.32"/>
    <s v="SENS0322"/>
    <d v="2024-04-27T00:00:00"/>
    <n v="16.979272000000002"/>
    <n v="84.600354999999993"/>
    <n v="0.74"/>
    <x v="0"/>
    <n v="103"/>
    <s v="Medium"/>
    <s v="High Usage"/>
  </r>
  <r>
    <s v="FARM0323"/>
    <x v="4"/>
    <x v="2"/>
    <n v="25.2"/>
    <n v="5.94"/>
    <n v="33.549999999999997"/>
    <n v="286.56"/>
    <n v="85.69"/>
    <n v="9.39"/>
    <s v="None"/>
    <x v="0"/>
    <n v="6.8"/>
    <d v="2024-02-24T00:00:00"/>
    <d v="2024-07-12T00:00:00"/>
    <x v="2"/>
    <n v="139"/>
    <n v="4016.87"/>
    <s v="SENS0323"/>
    <d v="2024-06-11T00:00:00"/>
    <n v="23.278043"/>
    <n v="79.585386999999997"/>
    <n v="0.78"/>
    <x v="1"/>
    <n v="139"/>
    <s v="Medium"/>
    <s v="Low Usage"/>
  </r>
  <r>
    <s v="FARM0324"/>
    <x v="1"/>
    <x v="3"/>
    <n v="18.420000000000002"/>
    <n v="6.62"/>
    <n v="15.25"/>
    <n v="232.95"/>
    <n v="87.5"/>
    <n v="4.8"/>
    <s v="Manual"/>
    <x v="0"/>
    <n v="34.14"/>
    <d v="2024-01-01T00:00:00"/>
    <d v="2024-04-30T00:00:00"/>
    <x v="3"/>
    <n v="120"/>
    <n v="4676.1400000000003"/>
    <s v="SENS0324"/>
    <d v="2024-01-21T00:00:00"/>
    <n v="27.582612000000001"/>
    <n v="87.158441999999994"/>
    <n v="0.75"/>
    <x v="1"/>
    <n v="120"/>
    <s v="Medium"/>
    <s v="Medium Usage"/>
  </r>
  <r>
    <s v="FARM0325"/>
    <x v="1"/>
    <x v="3"/>
    <n v="37.01"/>
    <n v="7.25"/>
    <n v="23.11"/>
    <n v="247.46"/>
    <n v="58.52"/>
    <n v="6.79"/>
    <s v="Drip"/>
    <x v="2"/>
    <n v="8.18"/>
    <d v="2024-03-11T00:00:00"/>
    <d v="2024-07-12T00:00:00"/>
    <x v="2"/>
    <n v="123"/>
    <n v="2130.86"/>
    <s v="SENS0325"/>
    <d v="2024-05-04T00:00:00"/>
    <n v="28.822199999999999"/>
    <n v="83.961100000000002"/>
    <n v="0.67"/>
    <x v="0"/>
    <n v="123"/>
    <s v="Low"/>
    <s v="Low Usage"/>
  </r>
  <r>
    <s v="FARM0326"/>
    <x v="0"/>
    <x v="1"/>
    <n v="40.83"/>
    <n v="6.97"/>
    <n v="16.100000000000001"/>
    <n v="286.33"/>
    <n v="73.73"/>
    <n v="9.33"/>
    <s v="Drip"/>
    <x v="1"/>
    <n v="21.45"/>
    <d v="2024-03-02T00:00:00"/>
    <d v="2024-06-23T00:00:00"/>
    <x v="1"/>
    <n v="113"/>
    <n v="3465.73"/>
    <s v="SENS0326"/>
    <d v="2024-05-23T00:00:00"/>
    <n v="23.969760999999998"/>
    <n v="71.340118000000004"/>
    <n v="0.73"/>
    <x v="0"/>
    <n v="113"/>
    <s v="Medium"/>
    <s v="Medium Usage"/>
  </r>
  <r>
    <s v="FARM0327"/>
    <x v="4"/>
    <x v="2"/>
    <n v="18.350000000000001"/>
    <n v="5.73"/>
    <n v="24.57"/>
    <n v="284.79000000000002"/>
    <n v="69.010000000000005"/>
    <n v="9.75"/>
    <s v="Sprinkler"/>
    <x v="2"/>
    <n v="39.24"/>
    <d v="2024-02-12T00:00:00"/>
    <d v="2024-07-08T00:00:00"/>
    <x v="2"/>
    <n v="147"/>
    <n v="3069.43"/>
    <s v="SENS0327"/>
    <d v="2024-05-30T00:00:00"/>
    <n v="16.928633000000001"/>
    <n v="71.267384000000007"/>
    <n v="0.51"/>
    <x v="2"/>
    <n v="147"/>
    <s v="Medium"/>
    <s v="High Usage"/>
  </r>
  <r>
    <s v="FARM0328"/>
    <x v="3"/>
    <x v="1"/>
    <n v="39.03"/>
    <n v="6.44"/>
    <n v="25.64"/>
    <n v="256.33999999999997"/>
    <n v="84.97"/>
    <n v="6.71"/>
    <s v="Manual"/>
    <x v="2"/>
    <n v="47.54"/>
    <d v="2024-01-07T00:00:00"/>
    <d v="2024-06-02T00:00:00"/>
    <x v="1"/>
    <n v="147"/>
    <n v="5535.92"/>
    <s v="SENS0328"/>
    <d v="2024-01-29T00:00:00"/>
    <n v="12.00426"/>
    <n v="87.958917"/>
    <n v="0.47"/>
    <x v="1"/>
    <n v="147"/>
    <s v="High"/>
    <s v="High Usage"/>
  </r>
  <r>
    <s v="FARM0329"/>
    <x v="0"/>
    <x v="4"/>
    <n v="19.66"/>
    <n v="6.89"/>
    <n v="24.93"/>
    <n v="268.75"/>
    <n v="66.03"/>
    <n v="7.76"/>
    <s v="Manual"/>
    <x v="1"/>
    <n v="48.63"/>
    <d v="2024-03-05T00:00:00"/>
    <d v="2024-07-03T00:00:00"/>
    <x v="2"/>
    <n v="120"/>
    <n v="3386.8"/>
    <s v="SENS0329"/>
    <d v="2024-04-30T00:00:00"/>
    <n v="28.442730999999998"/>
    <n v="70.429646000000005"/>
    <n v="0.41"/>
    <x v="1"/>
    <n v="120"/>
    <s v="Medium"/>
    <s v="High Usage"/>
  </r>
  <r>
    <s v="FARM0330"/>
    <x v="4"/>
    <x v="1"/>
    <n v="32.56"/>
    <n v="6.32"/>
    <n v="21.86"/>
    <n v="211.51"/>
    <n v="56.32"/>
    <n v="7.56"/>
    <s v="None"/>
    <x v="1"/>
    <n v="18.68"/>
    <d v="2024-01-26T00:00:00"/>
    <d v="2024-05-14T00:00:00"/>
    <x v="0"/>
    <n v="109"/>
    <n v="2686.95"/>
    <s v="SENS0330"/>
    <d v="2024-02-28T00:00:00"/>
    <n v="15.669548000000001"/>
    <n v="77.438046"/>
    <n v="0.47"/>
    <x v="1"/>
    <n v="109"/>
    <s v="Low"/>
    <s v="Medium Usage"/>
  </r>
  <r>
    <s v="FARM0331"/>
    <x v="4"/>
    <x v="2"/>
    <n v="19.95"/>
    <n v="7.41"/>
    <n v="27.37"/>
    <n v="90.2"/>
    <n v="66.77"/>
    <n v="5.09"/>
    <s v="Sprinkler"/>
    <x v="2"/>
    <n v="36.18"/>
    <d v="2024-03-26T00:00:00"/>
    <d v="2024-07-03T00:00:00"/>
    <x v="2"/>
    <n v="99"/>
    <n v="2645.02"/>
    <s v="SENS0331"/>
    <d v="2024-04-09T00:00:00"/>
    <n v="11.028786"/>
    <n v="76.332516999999996"/>
    <n v="0.38"/>
    <x v="3"/>
    <n v="99"/>
    <s v="Low"/>
    <s v="Medium Usage"/>
  </r>
  <r>
    <s v="FARM0332"/>
    <x v="2"/>
    <x v="4"/>
    <n v="17.18"/>
    <n v="6.91"/>
    <n v="28.31"/>
    <n v="294.51"/>
    <n v="47.4"/>
    <n v="6.69"/>
    <s v="Sprinkler"/>
    <x v="2"/>
    <n v="18.57"/>
    <d v="2024-01-13T00:00:00"/>
    <d v="2024-06-10T00:00:00"/>
    <x v="1"/>
    <n v="149"/>
    <n v="3997.67"/>
    <s v="SENS0332"/>
    <d v="2024-02-19T00:00:00"/>
    <n v="33.694726000000003"/>
    <n v="88.556225999999995"/>
    <n v="0.39"/>
    <x v="3"/>
    <n v="149"/>
    <s v="Medium"/>
    <s v="Medium Usage"/>
  </r>
  <r>
    <s v="FARM0333"/>
    <x v="2"/>
    <x v="3"/>
    <n v="41.36"/>
    <n v="7.44"/>
    <n v="30.08"/>
    <n v="298.52"/>
    <n v="73.34"/>
    <n v="8.8000000000000007"/>
    <s v="None"/>
    <x v="1"/>
    <n v="36.01"/>
    <d v="2024-03-16T00:00:00"/>
    <d v="2024-08-10T00:00:00"/>
    <x v="4"/>
    <n v="147"/>
    <n v="2160.3200000000002"/>
    <s v="SENS0333"/>
    <d v="2024-08-04T00:00:00"/>
    <n v="12.921901999999999"/>
    <n v="70.495912000000004"/>
    <n v="0.67"/>
    <x v="0"/>
    <n v="147"/>
    <s v="Low"/>
    <s v="Medium Usage"/>
  </r>
  <r>
    <s v="FARM0334"/>
    <x v="1"/>
    <x v="2"/>
    <n v="13.24"/>
    <n v="5.61"/>
    <n v="27.83"/>
    <n v="195.86"/>
    <n v="51.11"/>
    <n v="9.61"/>
    <s v="Manual"/>
    <x v="0"/>
    <n v="6.01"/>
    <d v="2024-03-28T00:00:00"/>
    <d v="2024-07-24T00:00:00"/>
    <x v="2"/>
    <n v="118"/>
    <n v="4708.25"/>
    <s v="SENS0334"/>
    <d v="2024-04-08T00:00:00"/>
    <n v="34.395988000000003"/>
    <n v="77.888471999999993"/>
    <n v="0.59"/>
    <x v="1"/>
    <n v="118"/>
    <s v="Medium"/>
    <s v="Low Usage"/>
  </r>
  <r>
    <s v="FARM0335"/>
    <x v="2"/>
    <x v="3"/>
    <n v="15.18"/>
    <n v="7.21"/>
    <n v="22.39"/>
    <n v="143.21"/>
    <n v="54.23"/>
    <n v="6.11"/>
    <s v="None"/>
    <x v="2"/>
    <n v="8.94"/>
    <d v="2024-03-15T00:00:00"/>
    <d v="2024-07-30T00:00:00"/>
    <x v="2"/>
    <n v="137"/>
    <n v="5970.39"/>
    <s v="SENS0335"/>
    <d v="2024-07-06T00:00:00"/>
    <n v="17.21585"/>
    <n v="86.113455999999999"/>
    <n v="0.88"/>
    <x v="2"/>
    <n v="137"/>
    <s v="High"/>
    <s v="Low Usage"/>
  </r>
  <r>
    <s v="FARM0336"/>
    <x v="1"/>
    <x v="4"/>
    <n v="39.24"/>
    <n v="6.7"/>
    <n v="17.87"/>
    <n v="125.81"/>
    <n v="89.42"/>
    <n v="7.15"/>
    <s v="Manual"/>
    <x v="0"/>
    <n v="46.99"/>
    <d v="2024-03-25T00:00:00"/>
    <d v="2024-07-17T00:00:00"/>
    <x v="2"/>
    <n v="114"/>
    <n v="2353.79"/>
    <s v="SENS0336"/>
    <d v="2024-05-16T00:00:00"/>
    <n v="25.97015"/>
    <n v="75.466577000000001"/>
    <n v="0.4"/>
    <x v="2"/>
    <n v="114"/>
    <s v="Low"/>
    <s v="High Usage"/>
  </r>
  <r>
    <s v="FARM0337"/>
    <x v="3"/>
    <x v="4"/>
    <n v="16.97"/>
    <n v="7.16"/>
    <n v="20.79"/>
    <n v="172.65"/>
    <n v="81.14"/>
    <n v="5.81"/>
    <s v="Manual"/>
    <x v="1"/>
    <n v="30.17"/>
    <d v="2024-02-08T00:00:00"/>
    <d v="2024-05-09T00:00:00"/>
    <x v="0"/>
    <n v="91"/>
    <n v="5164.88"/>
    <s v="SENS0337"/>
    <d v="2024-02-27T00:00:00"/>
    <n v="16.566925999999999"/>
    <n v="89.120531999999997"/>
    <n v="0.8"/>
    <x v="2"/>
    <n v="91"/>
    <s v="High"/>
    <s v="Medium Usage"/>
  </r>
  <r>
    <s v="FARM0338"/>
    <x v="0"/>
    <x v="2"/>
    <n v="24.6"/>
    <n v="6.48"/>
    <n v="28.76"/>
    <n v="111.19"/>
    <n v="45.97"/>
    <n v="5.66"/>
    <s v="Drip"/>
    <x v="2"/>
    <n v="38.549999999999997"/>
    <d v="2024-03-16T00:00:00"/>
    <d v="2024-07-20T00:00:00"/>
    <x v="2"/>
    <n v="126"/>
    <n v="3744.27"/>
    <s v="SENS0338"/>
    <d v="2024-04-18T00:00:00"/>
    <n v="25.699901000000001"/>
    <n v="79.520814000000001"/>
    <n v="0.72"/>
    <x v="1"/>
    <n v="126"/>
    <s v="Medium"/>
    <s v="High Usage"/>
  </r>
  <r>
    <s v="FARM0339"/>
    <x v="2"/>
    <x v="1"/>
    <n v="35.65"/>
    <n v="5.54"/>
    <n v="20.190000000000001"/>
    <n v="195.41"/>
    <n v="47.31"/>
    <n v="6.77"/>
    <s v="Sprinkler"/>
    <x v="1"/>
    <n v="12.35"/>
    <d v="2024-02-12T00:00:00"/>
    <d v="2024-06-07T00:00:00"/>
    <x v="1"/>
    <n v="116"/>
    <n v="4544.99"/>
    <s v="SENS0339"/>
    <d v="2024-03-28T00:00:00"/>
    <n v="11.217873000000001"/>
    <n v="75.833281999999997"/>
    <n v="0.68"/>
    <x v="1"/>
    <n v="116"/>
    <s v="Medium"/>
    <s v="Low Usage"/>
  </r>
  <r>
    <s v="FARM0340"/>
    <x v="3"/>
    <x v="4"/>
    <n v="36.83"/>
    <n v="5.87"/>
    <n v="16.89"/>
    <n v="238.16"/>
    <n v="67.19"/>
    <n v="9.23"/>
    <s v="Manual"/>
    <x v="1"/>
    <n v="35.840000000000003"/>
    <d v="2024-03-12T00:00:00"/>
    <d v="2024-06-16T00:00:00"/>
    <x v="1"/>
    <n v="96"/>
    <n v="4137.68"/>
    <s v="SENS0340"/>
    <d v="2024-04-26T00:00:00"/>
    <n v="30.58287"/>
    <n v="70.257953000000001"/>
    <n v="0.61"/>
    <x v="3"/>
    <n v="96"/>
    <s v="Medium"/>
    <s v="Medium Usage"/>
  </r>
  <r>
    <s v="FARM0341"/>
    <x v="1"/>
    <x v="3"/>
    <n v="21.91"/>
    <n v="7.32"/>
    <n v="17.05"/>
    <n v="88.64"/>
    <n v="51.06"/>
    <n v="5.13"/>
    <s v="Drip"/>
    <x v="1"/>
    <n v="25.72"/>
    <d v="2024-01-04T00:00:00"/>
    <d v="2024-05-25T00:00:00"/>
    <x v="0"/>
    <n v="142"/>
    <n v="2524.9299999999998"/>
    <s v="SENS0341"/>
    <d v="2024-01-08T00:00:00"/>
    <n v="21.987956000000001"/>
    <n v="76.231469000000004"/>
    <n v="0.52"/>
    <x v="2"/>
    <n v="142"/>
    <s v="Low"/>
    <s v="Medium Usage"/>
  </r>
  <r>
    <s v="FARM0342"/>
    <x v="3"/>
    <x v="1"/>
    <n v="36.729999999999997"/>
    <n v="6.18"/>
    <n v="29.2"/>
    <n v="57.19"/>
    <n v="80.73"/>
    <n v="5.33"/>
    <s v="Sprinkler"/>
    <x v="2"/>
    <n v="15.2"/>
    <d v="2024-01-07T00:00:00"/>
    <d v="2024-04-14T00:00:00"/>
    <x v="3"/>
    <n v="98"/>
    <n v="5924.44"/>
    <s v="SENS0342"/>
    <d v="2024-03-01T00:00:00"/>
    <n v="27.270453"/>
    <n v="85.680593999999999"/>
    <n v="0.35"/>
    <x v="2"/>
    <n v="98"/>
    <s v="High"/>
    <s v="Medium Usage"/>
  </r>
  <r>
    <s v="FARM0343"/>
    <x v="1"/>
    <x v="0"/>
    <n v="16.87"/>
    <n v="5.57"/>
    <n v="28.2"/>
    <n v="198.29"/>
    <n v="63.45"/>
    <n v="9.4499999999999993"/>
    <s v="Drip"/>
    <x v="0"/>
    <n v="18.57"/>
    <d v="2024-01-25T00:00:00"/>
    <d v="2024-04-30T00:00:00"/>
    <x v="3"/>
    <n v="96"/>
    <n v="5129.4799999999996"/>
    <s v="SENS0343"/>
    <d v="2024-04-11T00:00:00"/>
    <n v="15.13503"/>
    <n v="88.023497000000006"/>
    <n v="0.41"/>
    <x v="3"/>
    <n v="96"/>
    <s v="High"/>
    <s v="Medium Usage"/>
  </r>
  <r>
    <s v="FARM0344"/>
    <x v="0"/>
    <x v="0"/>
    <n v="15.09"/>
    <n v="6.99"/>
    <n v="20.55"/>
    <n v="194.94"/>
    <n v="57.61"/>
    <n v="9.1300000000000008"/>
    <s v="Sprinkler"/>
    <x v="2"/>
    <n v="30.66"/>
    <d v="2024-01-27T00:00:00"/>
    <d v="2024-06-02T00:00:00"/>
    <x v="1"/>
    <n v="127"/>
    <n v="5052.9799999999996"/>
    <s v="SENS0344"/>
    <d v="2024-03-22T00:00:00"/>
    <n v="27.895291"/>
    <n v="89.285275999999996"/>
    <n v="0.4"/>
    <x v="1"/>
    <n v="127"/>
    <s v="Medium"/>
    <s v="Medium Usage"/>
  </r>
  <r>
    <s v="FARM0345"/>
    <x v="0"/>
    <x v="4"/>
    <n v="42.22"/>
    <n v="7.2"/>
    <n v="24.49"/>
    <n v="224.53"/>
    <n v="49.26"/>
    <n v="8.0399999999999991"/>
    <s v="Drip"/>
    <x v="0"/>
    <n v="42.56"/>
    <d v="2024-02-14T00:00:00"/>
    <d v="2024-05-27T00:00:00"/>
    <x v="0"/>
    <n v="103"/>
    <n v="4057"/>
    <s v="SENS0345"/>
    <d v="2024-04-06T00:00:00"/>
    <n v="12.821137"/>
    <n v="89.692255000000003"/>
    <n v="0.37"/>
    <x v="1"/>
    <n v="103"/>
    <s v="Medium"/>
    <s v="High Usage"/>
  </r>
  <r>
    <s v="FARM0346"/>
    <x v="3"/>
    <x v="4"/>
    <n v="27.35"/>
    <n v="6.22"/>
    <n v="20.77"/>
    <n v="230.53"/>
    <n v="44.11"/>
    <n v="6.96"/>
    <s v="None"/>
    <x v="1"/>
    <n v="25.56"/>
    <d v="2024-03-10T00:00:00"/>
    <d v="2024-07-21T00:00:00"/>
    <x v="2"/>
    <n v="133"/>
    <n v="5904.72"/>
    <s v="SENS0346"/>
    <d v="2024-07-01T00:00:00"/>
    <n v="15.646836"/>
    <n v="78.145644000000004"/>
    <n v="0.89"/>
    <x v="2"/>
    <n v="133"/>
    <s v="High"/>
    <s v="Medium Usage"/>
  </r>
  <r>
    <s v="FARM0347"/>
    <x v="4"/>
    <x v="0"/>
    <n v="41.32"/>
    <n v="7.1"/>
    <n v="33.78"/>
    <n v="141.86000000000001"/>
    <n v="40.64"/>
    <n v="8.0399999999999991"/>
    <s v="Drip"/>
    <x v="1"/>
    <n v="24.71"/>
    <d v="2024-03-22T00:00:00"/>
    <d v="2024-06-25T00:00:00"/>
    <x v="1"/>
    <n v="95"/>
    <n v="2476.87"/>
    <s v="SENS0347"/>
    <d v="2024-05-11T00:00:00"/>
    <n v="20.015606999999999"/>
    <n v="81.811144999999996"/>
    <n v="0.36"/>
    <x v="0"/>
    <n v="95"/>
    <s v="Low"/>
    <s v="Medium Usage"/>
  </r>
  <r>
    <s v="FARM0348"/>
    <x v="0"/>
    <x v="2"/>
    <n v="44.13"/>
    <n v="6.18"/>
    <n v="26.9"/>
    <n v="297.67"/>
    <n v="46.14"/>
    <n v="9.0299999999999994"/>
    <s v="None"/>
    <x v="1"/>
    <n v="39.42"/>
    <d v="2024-03-19T00:00:00"/>
    <d v="2024-07-04T00:00:00"/>
    <x v="2"/>
    <n v="107"/>
    <n v="5025.21"/>
    <s v="SENS0348"/>
    <d v="2024-06-29T00:00:00"/>
    <n v="26.095779"/>
    <n v="78.004711"/>
    <n v="0.59"/>
    <x v="2"/>
    <n v="107"/>
    <s v="Medium"/>
    <s v="High Usage"/>
  </r>
  <r>
    <s v="FARM0349"/>
    <x v="1"/>
    <x v="1"/>
    <n v="19.760000000000002"/>
    <n v="7.04"/>
    <n v="17.16"/>
    <n v="112.67"/>
    <n v="64.86"/>
    <n v="7.77"/>
    <s v="Sprinkler"/>
    <x v="0"/>
    <n v="9.48"/>
    <d v="2024-01-27T00:00:00"/>
    <d v="2024-04-30T00:00:00"/>
    <x v="3"/>
    <n v="94"/>
    <n v="3992.54"/>
    <s v="SENS0349"/>
    <d v="2024-01-30T00:00:00"/>
    <n v="34.301814"/>
    <n v="77.652659999999997"/>
    <n v="0.71"/>
    <x v="0"/>
    <n v="94"/>
    <s v="Medium"/>
    <s v="Low Usage"/>
  </r>
  <r>
    <s v="FARM0350"/>
    <x v="2"/>
    <x v="1"/>
    <n v="31.81"/>
    <n v="7.02"/>
    <n v="28.22"/>
    <n v="179.99"/>
    <n v="64.61"/>
    <n v="6.8"/>
    <s v="Manual"/>
    <x v="2"/>
    <n v="27.41"/>
    <d v="2024-03-09T00:00:00"/>
    <d v="2024-07-11T00:00:00"/>
    <x v="2"/>
    <n v="124"/>
    <n v="3374.46"/>
    <s v="SENS0350"/>
    <d v="2024-06-27T00:00:00"/>
    <n v="23.513224999999998"/>
    <n v="70.353408000000002"/>
    <n v="0.76"/>
    <x v="2"/>
    <n v="124"/>
    <s v="Medium"/>
    <s v="Medium Usage"/>
  </r>
  <r>
    <s v="FARM0351"/>
    <x v="0"/>
    <x v="3"/>
    <n v="25.75"/>
    <n v="7.21"/>
    <n v="23.85"/>
    <n v="59"/>
    <n v="48.84"/>
    <n v="7.96"/>
    <s v="Manual"/>
    <x v="2"/>
    <n v="12.39"/>
    <d v="2024-02-05T00:00:00"/>
    <d v="2024-05-24T00:00:00"/>
    <x v="0"/>
    <n v="109"/>
    <n v="4862.8900000000003"/>
    <s v="SENS0351"/>
    <d v="2024-04-07T00:00:00"/>
    <n v="29.100277999999999"/>
    <n v="81.377104000000003"/>
    <n v="0.59"/>
    <x v="2"/>
    <n v="109"/>
    <s v="Medium"/>
    <s v="Low Usage"/>
  </r>
  <r>
    <s v="FARM0352"/>
    <x v="1"/>
    <x v="1"/>
    <n v="39.9"/>
    <n v="6.51"/>
    <n v="22.83"/>
    <n v="173.67"/>
    <n v="88.54"/>
    <n v="7.7"/>
    <s v="Manual"/>
    <x v="1"/>
    <n v="19.420000000000002"/>
    <d v="2024-01-19T00:00:00"/>
    <d v="2024-04-20T00:00:00"/>
    <x v="3"/>
    <n v="92"/>
    <n v="2512.79"/>
    <s v="SENS0352"/>
    <d v="2024-03-05T00:00:00"/>
    <n v="18.721920000000001"/>
    <n v="84.841143000000002"/>
    <n v="0.32"/>
    <x v="3"/>
    <n v="92"/>
    <s v="Low"/>
    <s v="Medium Usage"/>
  </r>
  <r>
    <s v="FARM0353"/>
    <x v="1"/>
    <x v="0"/>
    <n v="24.99"/>
    <n v="7.48"/>
    <n v="23.24"/>
    <n v="64.11"/>
    <n v="52.21"/>
    <n v="5.41"/>
    <s v="Manual"/>
    <x v="2"/>
    <n v="8.82"/>
    <d v="2024-03-03T00:00:00"/>
    <d v="2024-07-26T00:00:00"/>
    <x v="2"/>
    <n v="145"/>
    <n v="3219.65"/>
    <s v="SENS0353"/>
    <d v="2024-05-28T00:00:00"/>
    <n v="14.244481"/>
    <n v="80.768336000000005"/>
    <n v="0.32"/>
    <x v="2"/>
    <n v="145"/>
    <s v="Medium"/>
    <s v="Low Usage"/>
  </r>
  <r>
    <s v="FARM0354"/>
    <x v="3"/>
    <x v="1"/>
    <n v="41.55"/>
    <n v="6.03"/>
    <n v="28.92"/>
    <n v="197"/>
    <n v="89.29"/>
    <n v="6.27"/>
    <s v="None"/>
    <x v="1"/>
    <n v="30.76"/>
    <d v="2024-02-04T00:00:00"/>
    <d v="2024-06-17T00:00:00"/>
    <x v="1"/>
    <n v="134"/>
    <n v="4700.45"/>
    <s v="SENS0354"/>
    <d v="2024-04-30T00:00:00"/>
    <n v="22.418285000000001"/>
    <n v="86.229144000000005"/>
    <n v="0.7"/>
    <x v="0"/>
    <n v="134"/>
    <s v="Medium"/>
    <s v="Medium Usage"/>
  </r>
  <r>
    <s v="FARM0355"/>
    <x v="3"/>
    <x v="2"/>
    <n v="22.72"/>
    <n v="6.37"/>
    <n v="24.94"/>
    <n v="261.83"/>
    <n v="79.36"/>
    <n v="9.0399999999999991"/>
    <s v="Sprinkler"/>
    <x v="1"/>
    <n v="16.93"/>
    <d v="2024-02-19T00:00:00"/>
    <d v="2024-06-13T00:00:00"/>
    <x v="1"/>
    <n v="115"/>
    <n v="5218.41"/>
    <s v="SENS0355"/>
    <d v="2024-05-08T00:00:00"/>
    <n v="28.572201"/>
    <n v="71.839157"/>
    <n v="0.81"/>
    <x v="1"/>
    <n v="115"/>
    <s v="High"/>
    <s v="Medium Usage"/>
  </r>
  <r>
    <s v="FARM0356"/>
    <x v="3"/>
    <x v="2"/>
    <n v="19.57"/>
    <n v="6.63"/>
    <n v="25.62"/>
    <n v="156.78"/>
    <n v="57.37"/>
    <n v="4.46"/>
    <s v="Manual"/>
    <x v="2"/>
    <n v="41.19"/>
    <d v="2024-02-22T00:00:00"/>
    <d v="2024-06-25T00:00:00"/>
    <x v="1"/>
    <n v="124"/>
    <n v="3253.41"/>
    <s v="SENS0356"/>
    <d v="2024-04-15T00:00:00"/>
    <n v="20.057524000000001"/>
    <n v="82.499278000000004"/>
    <n v="0.56999999999999995"/>
    <x v="0"/>
    <n v="124"/>
    <s v="Medium"/>
    <s v="High Usage"/>
  </r>
  <r>
    <s v="FARM0357"/>
    <x v="0"/>
    <x v="1"/>
    <n v="40.19"/>
    <n v="6.65"/>
    <n v="19.260000000000002"/>
    <n v="290.52999999999997"/>
    <n v="77.11"/>
    <n v="6.8"/>
    <s v="None"/>
    <x v="2"/>
    <n v="37.700000000000003"/>
    <d v="2024-01-17T00:00:00"/>
    <d v="2024-04-28T00:00:00"/>
    <x v="3"/>
    <n v="102"/>
    <n v="3457.1"/>
    <s v="SENS0357"/>
    <d v="2024-02-04T00:00:00"/>
    <n v="16.009349"/>
    <n v="84.928669999999997"/>
    <n v="0.76"/>
    <x v="2"/>
    <n v="102"/>
    <s v="Medium"/>
    <s v="Medium Usage"/>
  </r>
  <r>
    <s v="FARM0358"/>
    <x v="1"/>
    <x v="2"/>
    <n v="40.11"/>
    <n v="7.32"/>
    <n v="27.68"/>
    <n v="261.49"/>
    <n v="53.35"/>
    <n v="5.72"/>
    <s v="Sprinkler"/>
    <x v="1"/>
    <n v="35.909999999999997"/>
    <d v="2024-01-13T00:00:00"/>
    <d v="2024-04-27T00:00:00"/>
    <x v="3"/>
    <n v="105"/>
    <n v="2454.23"/>
    <s v="SENS0358"/>
    <d v="2024-02-06T00:00:00"/>
    <n v="10.692603999999999"/>
    <n v="85.940894999999998"/>
    <n v="0.49"/>
    <x v="2"/>
    <n v="105"/>
    <s v="Low"/>
    <s v="Medium Usage"/>
  </r>
  <r>
    <s v="FARM0359"/>
    <x v="3"/>
    <x v="3"/>
    <n v="24.77"/>
    <n v="7.31"/>
    <n v="19.04"/>
    <n v="118.18"/>
    <n v="41.46"/>
    <n v="8.74"/>
    <s v="Manual"/>
    <x v="2"/>
    <n v="29.78"/>
    <d v="2024-03-28T00:00:00"/>
    <d v="2024-06-28T00:00:00"/>
    <x v="1"/>
    <n v="92"/>
    <n v="5855.15"/>
    <s v="SENS0359"/>
    <d v="2024-05-29T00:00:00"/>
    <n v="29.555844"/>
    <n v="71.106544999999997"/>
    <n v="0.84"/>
    <x v="3"/>
    <n v="92"/>
    <s v="High"/>
    <s v="Medium Usage"/>
  </r>
  <r>
    <s v="FARM0360"/>
    <x v="3"/>
    <x v="2"/>
    <n v="40.35"/>
    <n v="7.3"/>
    <n v="23.14"/>
    <n v="140.86000000000001"/>
    <n v="72.87"/>
    <n v="4.54"/>
    <s v="Sprinkler"/>
    <x v="0"/>
    <n v="10.039999999999999"/>
    <d v="2024-03-17T00:00:00"/>
    <d v="2024-08-13T00:00:00"/>
    <x v="4"/>
    <n v="149"/>
    <n v="2482.5700000000002"/>
    <s v="SENS0360"/>
    <d v="2024-08-12T00:00:00"/>
    <n v="33.741863000000002"/>
    <n v="88.631112999999999"/>
    <n v="0.45"/>
    <x v="1"/>
    <n v="149"/>
    <s v="Low"/>
    <s v="Low Usage"/>
  </r>
  <r>
    <s v="FARM0361"/>
    <x v="4"/>
    <x v="1"/>
    <n v="14.28"/>
    <n v="7.11"/>
    <n v="21.59"/>
    <n v="196.08"/>
    <n v="59.5"/>
    <n v="8.49"/>
    <s v="Sprinkler"/>
    <x v="1"/>
    <n v="14.81"/>
    <d v="2024-01-06T00:00:00"/>
    <d v="2024-04-18T00:00:00"/>
    <x v="3"/>
    <n v="103"/>
    <n v="5879.69"/>
    <s v="SENS0361"/>
    <d v="2024-03-02T00:00:00"/>
    <n v="20.209389000000002"/>
    <n v="87.257998999999998"/>
    <n v="0.33"/>
    <x v="3"/>
    <n v="103"/>
    <s v="High"/>
    <s v="Low Usage"/>
  </r>
  <r>
    <s v="FARM0362"/>
    <x v="0"/>
    <x v="2"/>
    <n v="29.1"/>
    <n v="6.45"/>
    <n v="19.93"/>
    <n v="119.43"/>
    <n v="79.209999999999994"/>
    <n v="4.87"/>
    <s v="None"/>
    <x v="2"/>
    <n v="21.55"/>
    <d v="2024-02-01T00:00:00"/>
    <d v="2024-06-11T00:00:00"/>
    <x v="1"/>
    <n v="131"/>
    <n v="5867.22"/>
    <s v="SENS0362"/>
    <d v="2024-02-09T00:00:00"/>
    <n v="31.036823999999999"/>
    <n v="83.244468999999995"/>
    <n v="0.86"/>
    <x v="0"/>
    <n v="131"/>
    <s v="High"/>
    <s v="Medium Usage"/>
  </r>
  <r>
    <s v="FARM0363"/>
    <x v="2"/>
    <x v="1"/>
    <n v="23.46"/>
    <n v="6.78"/>
    <n v="29.01"/>
    <n v="275.79000000000002"/>
    <n v="74.260000000000005"/>
    <n v="7.21"/>
    <s v="Sprinkler"/>
    <x v="1"/>
    <n v="22.48"/>
    <d v="2024-02-09T00:00:00"/>
    <d v="2024-05-28T00:00:00"/>
    <x v="0"/>
    <n v="109"/>
    <n v="2361"/>
    <s v="SENS0363"/>
    <d v="2024-05-24T00:00:00"/>
    <n v="28.916698"/>
    <n v="75.948458000000002"/>
    <n v="0.82"/>
    <x v="0"/>
    <n v="109"/>
    <s v="Low"/>
    <s v="Medium Usage"/>
  </r>
  <r>
    <s v="FARM0364"/>
    <x v="1"/>
    <x v="2"/>
    <n v="40.78"/>
    <n v="7.03"/>
    <n v="23.13"/>
    <n v="58.47"/>
    <n v="83.32"/>
    <n v="8.94"/>
    <s v="None"/>
    <x v="1"/>
    <n v="38.159999999999997"/>
    <d v="2024-02-23T00:00:00"/>
    <d v="2024-06-19T00:00:00"/>
    <x v="1"/>
    <n v="117"/>
    <n v="5507.04"/>
    <s v="SENS0364"/>
    <d v="2024-06-06T00:00:00"/>
    <n v="12.509888999999999"/>
    <n v="73.206867000000003"/>
    <n v="0.46"/>
    <x v="1"/>
    <n v="117"/>
    <s v="High"/>
    <s v="High Usage"/>
  </r>
  <r>
    <s v="FARM0365"/>
    <x v="2"/>
    <x v="3"/>
    <n v="31.07"/>
    <n v="7.13"/>
    <n v="29.76"/>
    <n v="163.32"/>
    <n v="41.37"/>
    <n v="4.3099999999999996"/>
    <s v="Sprinkler"/>
    <x v="2"/>
    <n v="24.95"/>
    <d v="2024-03-05T00:00:00"/>
    <d v="2024-06-03T00:00:00"/>
    <x v="1"/>
    <n v="90"/>
    <n v="3602.65"/>
    <s v="SENS0365"/>
    <d v="2024-05-24T00:00:00"/>
    <n v="17.638687999999998"/>
    <n v="81.516187000000002"/>
    <n v="0.37"/>
    <x v="0"/>
    <n v="90"/>
    <s v="Medium"/>
    <s v="Medium Usage"/>
  </r>
  <r>
    <s v="FARM0366"/>
    <x v="3"/>
    <x v="4"/>
    <n v="39.64"/>
    <n v="6.87"/>
    <n v="30.85"/>
    <n v="129.85"/>
    <n v="63.92"/>
    <n v="8.41"/>
    <s v="Manual"/>
    <x v="0"/>
    <n v="35.94"/>
    <d v="2024-02-26T00:00:00"/>
    <d v="2024-06-13T00:00:00"/>
    <x v="1"/>
    <n v="108"/>
    <n v="2794.65"/>
    <s v="SENS0366"/>
    <d v="2024-04-19T00:00:00"/>
    <n v="19.189989000000001"/>
    <n v="77.869883999999999"/>
    <n v="0.53"/>
    <x v="0"/>
    <n v="108"/>
    <s v="Low"/>
    <s v="Medium Usage"/>
  </r>
  <r>
    <s v="FARM0367"/>
    <x v="0"/>
    <x v="0"/>
    <n v="42.31"/>
    <n v="6.79"/>
    <n v="27.53"/>
    <n v="276.70999999999998"/>
    <n v="88.71"/>
    <n v="5.19"/>
    <s v="Sprinkler"/>
    <x v="0"/>
    <n v="23.05"/>
    <d v="2024-02-20T00:00:00"/>
    <d v="2024-06-05T00:00:00"/>
    <x v="1"/>
    <n v="106"/>
    <n v="2597"/>
    <s v="SENS0367"/>
    <d v="2024-04-07T00:00:00"/>
    <n v="14.253072"/>
    <n v="81.344858000000002"/>
    <n v="0.31"/>
    <x v="2"/>
    <n v="106"/>
    <s v="Low"/>
    <s v="Medium Usage"/>
  </r>
  <r>
    <s v="FARM0368"/>
    <x v="1"/>
    <x v="3"/>
    <n v="14.15"/>
    <n v="6.93"/>
    <n v="18.809999999999999"/>
    <n v="265.48"/>
    <n v="79.11"/>
    <n v="5.73"/>
    <s v="None"/>
    <x v="1"/>
    <n v="10.86"/>
    <d v="2024-01-20T00:00:00"/>
    <d v="2024-05-02T00:00:00"/>
    <x v="0"/>
    <n v="103"/>
    <n v="5980.83"/>
    <s v="SENS0368"/>
    <d v="2024-02-25T00:00:00"/>
    <n v="28.167701999999998"/>
    <n v="73.787262999999996"/>
    <n v="0.41"/>
    <x v="0"/>
    <n v="103"/>
    <s v="High"/>
    <s v="Low Usage"/>
  </r>
  <r>
    <s v="FARM0369"/>
    <x v="0"/>
    <x v="2"/>
    <n v="44.16"/>
    <n v="5.97"/>
    <n v="24.02"/>
    <n v="112.08"/>
    <n v="69.150000000000006"/>
    <n v="7.88"/>
    <s v="Drip"/>
    <x v="0"/>
    <n v="26.1"/>
    <d v="2024-02-23T00:00:00"/>
    <d v="2024-06-17T00:00:00"/>
    <x v="1"/>
    <n v="115"/>
    <n v="4747.41"/>
    <s v="SENS0369"/>
    <d v="2024-05-24T00:00:00"/>
    <n v="19.587385999999999"/>
    <n v="78.465818999999996"/>
    <n v="0.66"/>
    <x v="1"/>
    <n v="115"/>
    <s v="Medium"/>
    <s v="Medium Usage"/>
  </r>
  <r>
    <s v="FARM0370"/>
    <x v="0"/>
    <x v="1"/>
    <n v="12.06"/>
    <n v="6.17"/>
    <n v="19.7"/>
    <n v="277.06"/>
    <n v="89.84"/>
    <n v="9.64"/>
    <s v="Drip"/>
    <x v="0"/>
    <n v="16.41"/>
    <d v="2024-03-13T00:00:00"/>
    <d v="2024-06-30T00:00:00"/>
    <x v="1"/>
    <n v="109"/>
    <n v="5910.1"/>
    <s v="SENS0370"/>
    <d v="2024-06-06T00:00:00"/>
    <n v="19.27253"/>
    <n v="89.361155999999994"/>
    <n v="0.64"/>
    <x v="0"/>
    <n v="109"/>
    <s v="High"/>
    <s v="Medium Usage"/>
  </r>
  <r>
    <s v="FARM0371"/>
    <x v="2"/>
    <x v="4"/>
    <n v="27.63"/>
    <n v="7.36"/>
    <n v="32.56"/>
    <n v="82.98"/>
    <n v="55.87"/>
    <n v="7.18"/>
    <s v="Sprinkler"/>
    <x v="1"/>
    <n v="10.26"/>
    <d v="2024-01-05T00:00:00"/>
    <d v="2024-05-05T00:00:00"/>
    <x v="0"/>
    <n v="121"/>
    <n v="5486.72"/>
    <s v="SENS0371"/>
    <d v="2024-04-20T00:00:00"/>
    <n v="17.025016000000001"/>
    <n v="77.211843999999999"/>
    <n v="0.56000000000000005"/>
    <x v="3"/>
    <n v="121"/>
    <s v="High"/>
    <s v="Low Usage"/>
  </r>
  <r>
    <s v="FARM0372"/>
    <x v="3"/>
    <x v="2"/>
    <n v="28.09"/>
    <n v="6.37"/>
    <n v="18.3"/>
    <n v="234.22"/>
    <n v="64.56"/>
    <n v="9.6999999999999993"/>
    <s v="None"/>
    <x v="0"/>
    <n v="13.5"/>
    <d v="2024-01-08T00:00:00"/>
    <d v="2024-04-18T00:00:00"/>
    <x v="3"/>
    <n v="101"/>
    <n v="2143.4499999999998"/>
    <s v="SENS0372"/>
    <d v="2024-02-10T00:00:00"/>
    <n v="14.088874000000001"/>
    <n v="79.342657000000003"/>
    <n v="0.37"/>
    <x v="2"/>
    <n v="101"/>
    <s v="Low"/>
    <s v="Low Usage"/>
  </r>
  <r>
    <s v="FARM0373"/>
    <x v="0"/>
    <x v="3"/>
    <n v="22.48"/>
    <n v="6.92"/>
    <n v="24.7"/>
    <n v="173.25"/>
    <n v="82.29"/>
    <n v="9.1999999999999993"/>
    <s v="Drip"/>
    <x v="1"/>
    <n v="9.2100000000000009"/>
    <d v="2024-02-06T00:00:00"/>
    <d v="2024-06-28T00:00:00"/>
    <x v="1"/>
    <n v="143"/>
    <n v="2673.18"/>
    <s v="SENS0373"/>
    <d v="2024-06-15T00:00:00"/>
    <n v="30.564294"/>
    <n v="81.264948000000004"/>
    <n v="0.7"/>
    <x v="0"/>
    <n v="143"/>
    <s v="Low"/>
    <s v="Low Usage"/>
  </r>
  <r>
    <s v="FARM0374"/>
    <x v="3"/>
    <x v="0"/>
    <n v="28.41"/>
    <n v="6.64"/>
    <n v="23.33"/>
    <n v="69.209999999999994"/>
    <n v="78.41"/>
    <n v="8.06"/>
    <s v="Manual"/>
    <x v="0"/>
    <n v="17.79"/>
    <d v="2024-03-04T00:00:00"/>
    <d v="2024-06-27T00:00:00"/>
    <x v="1"/>
    <n v="115"/>
    <n v="3494.23"/>
    <s v="SENS0374"/>
    <d v="2024-03-17T00:00:00"/>
    <n v="30.924430000000001"/>
    <n v="73.075508999999997"/>
    <n v="0.35"/>
    <x v="2"/>
    <n v="115"/>
    <s v="Medium"/>
    <s v="Medium Usage"/>
  </r>
  <r>
    <s v="FARM0375"/>
    <x v="1"/>
    <x v="2"/>
    <n v="30.8"/>
    <n v="5.51"/>
    <n v="34.4"/>
    <n v="214.04"/>
    <n v="87.54"/>
    <n v="5.95"/>
    <s v="Sprinkler"/>
    <x v="0"/>
    <n v="43.85"/>
    <d v="2024-03-10T00:00:00"/>
    <d v="2024-06-28T00:00:00"/>
    <x v="1"/>
    <n v="110"/>
    <n v="5192.59"/>
    <s v="SENS0375"/>
    <d v="2024-06-13T00:00:00"/>
    <n v="11.768102000000001"/>
    <n v="89.038004000000001"/>
    <n v="0.53"/>
    <x v="2"/>
    <n v="110"/>
    <s v="High"/>
    <s v="High Usage"/>
  </r>
  <r>
    <s v="FARM0376"/>
    <x v="2"/>
    <x v="4"/>
    <n v="18.399999999999999"/>
    <n v="7.04"/>
    <n v="22.98"/>
    <n v="55.13"/>
    <n v="50.41"/>
    <n v="6.33"/>
    <s v="None"/>
    <x v="1"/>
    <n v="34.119999999999997"/>
    <d v="2024-03-05T00:00:00"/>
    <d v="2024-06-10T00:00:00"/>
    <x v="1"/>
    <n v="97"/>
    <n v="3194.19"/>
    <s v="SENS0376"/>
    <d v="2024-04-29T00:00:00"/>
    <n v="28.397231999999999"/>
    <n v="88.433995999999993"/>
    <n v="0.84"/>
    <x v="0"/>
    <n v="97"/>
    <s v="Medium"/>
    <s v="Medium Usage"/>
  </r>
  <r>
    <s v="FARM0377"/>
    <x v="2"/>
    <x v="0"/>
    <n v="39.119999999999997"/>
    <n v="6.53"/>
    <n v="24.79"/>
    <n v="271.35000000000002"/>
    <n v="63.82"/>
    <n v="7.38"/>
    <s v="None"/>
    <x v="0"/>
    <n v="39.04"/>
    <d v="2024-02-20T00:00:00"/>
    <d v="2024-05-31T00:00:00"/>
    <x v="0"/>
    <n v="101"/>
    <n v="3736.42"/>
    <s v="SENS0377"/>
    <d v="2024-04-14T00:00:00"/>
    <n v="12.323687"/>
    <n v="80.266829000000001"/>
    <n v="0.88"/>
    <x v="0"/>
    <n v="101"/>
    <s v="Medium"/>
    <s v="High Usage"/>
  </r>
  <r>
    <s v="FARM0378"/>
    <x v="4"/>
    <x v="3"/>
    <n v="28.45"/>
    <n v="6.79"/>
    <n v="16.68"/>
    <n v="167.05"/>
    <n v="43.96"/>
    <n v="8.81"/>
    <s v="Manual"/>
    <x v="0"/>
    <n v="49.29"/>
    <d v="2024-03-10T00:00:00"/>
    <d v="2024-07-31T00:00:00"/>
    <x v="2"/>
    <n v="143"/>
    <n v="2994.61"/>
    <s v="SENS0378"/>
    <d v="2024-06-27T00:00:00"/>
    <n v="17.387041"/>
    <n v="70.954565000000002"/>
    <n v="0.35"/>
    <x v="1"/>
    <n v="143"/>
    <s v="Low"/>
    <s v="High Usage"/>
  </r>
  <r>
    <s v="FARM0379"/>
    <x v="3"/>
    <x v="0"/>
    <n v="27.87"/>
    <n v="6.33"/>
    <n v="24.29"/>
    <n v="230.08"/>
    <n v="80.64"/>
    <n v="6.13"/>
    <s v="Drip"/>
    <x v="2"/>
    <n v="5.73"/>
    <d v="2024-03-22T00:00:00"/>
    <d v="2024-07-19T00:00:00"/>
    <x v="2"/>
    <n v="119"/>
    <n v="2718.21"/>
    <s v="SENS0379"/>
    <d v="2024-04-14T00:00:00"/>
    <n v="31.072745999999999"/>
    <n v="70.905174000000002"/>
    <n v="0.55000000000000004"/>
    <x v="3"/>
    <n v="119"/>
    <s v="Low"/>
    <s v="Low Usage"/>
  </r>
  <r>
    <s v="FARM0380"/>
    <x v="2"/>
    <x v="1"/>
    <n v="35.340000000000003"/>
    <n v="7.01"/>
    <n v="24"/>
    <n v="251.96"/>
    <n v="57.07"/>
    <n v="9.51"/>
    <s v="Sprinkler"/>
    <x v="0"/>
    <n v="13.33"/>
    <d v="2024-03-20T00:00:00"/>
    <d v="2024-07-04T00:00:00"/>
    <x v="2"/>
    <n v="106"/>
    <n v="5486.46"/>
    <s v="SENS0380"/>
    <d v="2024-04-02T00:00:00"/>
    <n v="20.844973"/>
    <n v="70.358304000000004"/>
    <n v="0.54"/>
    <x v="1"/>
    <n v="106"/>
    <s v="High"/>
    <s v="Low Usage"/>
  </r>
  <r>
    <s v="FARM0381"/>
    <x v="4"/>
    <x v="3"/>
    <n v="26.11"/>
    <n v="6.31"/>
    <n v="28.15"/>
    <n v="236.06"/>
    <n v="76.3"/>
    <n v="5.82"/>
    <s v="Manual"/>
    <x v="2"/>
    <n v="35.32"/>
    <d v="2024-03-22T00:00:00"/>
    <d v="2024-07-15T00:00:00"/>
    <x v="2"/>
    <n v="115"/>
    <n v="5218.5600000000004"/>
    <s v="SENS0381"/>
    <d v="2024-04-02T00:00:00"/>
    <n v="13.127236999999999"/>
    <n v="70.277518000000001"/>
    <n v="0.37"/>
    <x v="1"/>
    <n v="115"/>
    <s v="High"/>
    <s v="Medium Usage"/>
  </r>
  <r>
    <s v="FARM0382"/>
    <x v="4"/>
    <x v="0"/>
    <n v="17.32"/>
    <n v="6.8"/>
    <n v="27.99"/>
    <n v="158.94999999999999"/>
    <n v="71.3"/>
    <n v="8.74"/>
    <s v="Sprinkler"/>
    <x v="0"/>
    <n v="18.54"/>
    <d v="2024-02-05T00:00:00"/>
    <d v="2024-06-04T00:00:00"/>
    <x v="1"/>
    <n v="120"/>
    <n v="3687.52"/>
    <s v="SENS0382"/>
    <d v="2024-02-19T00:00:00"/>
    <n v="14.152637"/>
    <n v="73.048445000000001"/>
    <n v="0.72"/>
    <x v="2"/>
    <n v="120"/>
    <s v="Medium"/>
    <s v="Medium Usage"/>
  </r>
  <r>
    <s v="FARM0383"/>
    <x v="1"/>
    <x v="0"/>
    <n v="40.090000000000003"/>
    <n v="6.67"/>
    <n v="19.03"/>
    <n v="192.36"/>
    <n v="81.69"/>
    <n v="4.3099999999999996"/>
    <s v="Drip"/>
    <x v="0"/>
    <n v="33.369999999999997"/>
    <d v="2024-03-14T00:00:00"/>
    <d v="2024-07-08T00:00:00"/>
    <x v="2"/>
    <n v="116"/>
    <n v="5394.47"/>
    <s v="SENS0383"/>
    <d v="2024-06-16T00:00:00"/>
    <n v="24.466532000000001"/>
    <n v="84.621571000000003"/>
    <n v="0.9"/>
    <x v="1"/>
    <n v="116"/>
    <s v="High"/>
    <s v="Medium Usage"/>
  </r>
  <r>
    <s v="FARM0384"/>
    <x v="1"/>
    <x v="3"/>
    <n v="27.01"/>
    <n v="6.68"/>
    <n v="27.23"/>
    <n v="219.67"/>
    <n v="80.83"/>
    <n v="6.93"/>
    <s v="Drip"/>
    <x v="2"/>
    <n v="5.86"/>
    <d v="2024-03-11T00:00:00"/>
    <d v="2024-07-14T00:00:00"/>
    <x v="2"/>
    <n v="125"/>
    <n v="2254.04"/>
    <s v="SENS0384"/>
    <d v="2024-07-03T00:00:00"/>
    <n v="26.207507"/>
    <n v="87.782812000000007"/>
    <n v="0.37"/>
    <x v="3"/>
    <n v="125"/>
    <s v="Low"/>
    <s v="Low Usage"/>
  </r>
  <r>
    <s v="FARM0385"/>
    <x v="1"/>
    <x v="3"/>
    <n v="10.73"/>
    <n v="6.08"/>
    <n v="18.84"/>
    <n v="135.96"/>
    <n v="51.61"/>
    <n v="5.32"/>
    <s v="Manual"/>
    <x v="2"/>
    <n v="43.41"/>
    <d v="2024-03-22T00:00:00"/>
    <d v="2024-07-19T00:00:00"/>
    <x v="2"/>
    <n v="119"/>
    <n v="2524.63"/>
    <s v="SENS0385"/>
    <d v="2024-04-28T00:00:00"/>
    <n v="28.074874999999999"/>
    <n v="77.807424999999995"/>
    <n v="0.55000000000000004"/>
    <x v="3"/>
    <n v="119"/>
    <s v="Low"/>
    <s v="High Usage"/>
  </r>
  <r>
    <s v="FARM0386"/>
    <x v="1"/>
    <x v="4"/>
    <n v="31.76"/>
    <n v="6.06"/>
    <n v="29.99"/>
    <n v="216.76"/>
    <n v="46.45"/>
    <n v="5.2"/>
    <s v="None"/>
    <x v="0"/>
    <n v="40.71"/>
    <d v="2024-02-10T00:00:00"/>
    <d v="2024-05-25T00:00:00"/>
    <x v="0"/>
    <n v="105"/>
    <n v="2837.73"/>
    <s v="SENS0386"/>
    <d v="2024-02-16T00:00:00"/>
    <n v="34.981530999999997"/>
    <n v="77.175735000000003"/>
    <n v="0.46"/>
    <x v="0"/>
    <n v="105"/>
    <s v="Low"/>
    <s v="High Usage"/>
  </r>
  <r>
    <s v="FARM0387"/>
    <x v="4"/>
    <x v="1"/>
    <n v="11.12"/>
    <n v="5.63"/>
    <n v="23.61"/>
    <n v="204.39"/>
    <n v="46.03"/>
    <n v="5.34"/>
    <s v="Manual"/>
    <x v="1"/>
    <n v="40.32"/>
    <d v="2024-01-25T00:00:00"/>
    <d v="2024-06-19T00:00:00"/>
    <x v="1"/>
    <n v="146"/>
    <n v="4228.09"/>
    <s v="SENS0387"/>
    <d v="2024-03-03T00:00:00"/>
    <n v="31.335204000000001"/>
    <n v="87.473913999999994"/>
    <n v="0.66"/>
    <x v="1"/>
    <n v="146"/>
    <s v="Medium"/>
    <s v="High Usage"/>
  </r>
  <r>
    <s v="FARM0388"/>
    <x v="0"/>
    <x v="3"/>
    <n v="37.96"/>
    <n v="7.43"/>
    <n v="30.12"/>
    <n v="293.66000000000003"/>
    <n v="79.08"/>
    <n v="7.66"/>
    <s v="Drip"/>
    <x v="2"/>
    <n v="6.89"/>
    <d v="2024-01-06T00:00:00"/>
    <d v="2024-05-15T00:00:00"/>
    <x v="0"/>
    <n v="130"/>
    <n v="2472.2399999999998"/>
    <s v="SENS0388"/>
    <d v="2024-02-27T00:00:00"/>
    <n v="32.774644000000002"/>
    <n v="73.140651000000005"/>
    <n v="0.48"/>
    <x v="2"/>
    <n v="130"/>
    <s v="Low"/>
    <s v="Low Usage"/>
  </r>
  <r>
    <s v="FARM0389"/>
    <x v="3"/>
    <x v="3"/>
    <n v="35.64"/>
    <n v="5.7"/>
    <n v="27.94"/>
    <n v="133.65"/>
    <n v="46.89"/>
    <n v="9.09"/>
    <s v="None"/>
    <x v="1"/>
    <n v="39.61"/>
    <d v="2024-01-08T00:00:00"/>
    <d v="2024-05-30T00:00:00"/>
    <x v="0"/>
    <n v="143"/>
    <n v="5236.58"/>
    <s v="SENS0389"/>
    <d v="2024-04-04T00:00:00"/>
    <n v="17.168956999999999"/>
    <n v="73.425235999999998"/>
    <n v="0.46"/>
    <x v="2"/>
    <n v="143"/>
    <s v="High"/>
    <s v="High Usage"/>
  </r>
  <r>
    <s v="FARM0390"/>
    <x v="2"/>
    <x v="4"/>
    <n v="15.31"/>
    <n v="7.01"/>
    <n v="23.43"/>
    <n v="107.05"/>
    <n v="80.09"/>
    <n v="6.48"/>
    <s v="None"/>
    <x v="1"/>
    <n v="47.83"/>
    <d v="2024-03-26T00:00:00"/>
    <d v="2024-08-06T00:00:00"/>
    <x v="4"/>
    <n v="133"/>
    <n v="3447.1"/>
    <s v="SENS0390"/>
    <d v="2024-04-02T00:00:00"/>
    <n v="21.064467"/>
    <n v="85.403036999999998"/>
    <n v="0.73"/>
    <x v="1"/>
    <n v="133"/>
    <s v="Medium"/>
    <s v="High Usage"/>
  </r>
  <r>
    <s v="FARM0391"/>
    <x v="0"/>
    <x v="2"/>
    <n v="21.02"/>
    <n v="7.46"/>
    <n v="18.29"/>
    <n v="65.37"/>
    <n v="77.959999999999994"/>
    <n v="7.96"/>
    <s v="Sprinkler"/>
    <x v="2"/>
    <n v="7.6"/>
    <d v="2024-03-23T00:00:00"/>
    <d v="2024-08-11T00:00:00"/>
    <x v="4"/>
    <n v="141"/>
    <n v="4641.45"/>
    <s v="SENS0391"/>
    <d v="2024-08-03T00:00:00"/>
    <n v="34.316529000000003"/>
    <n v="78.386105999999998"/>
    <n v="0.83"/>
    <x v="3"/>
    <n v="141"/>
    <s v="Medium"/>
    <s v="Low Usage"/>
  </r>
  <r>
    <s v="FARM0392"/>
    <x v="2"/>
    <x v="2"/>
    <n v="10.28"/>
    <n v="6.06"/>
    <n v="25.56"/>
    <n v="280.11"/>
    <n v="75.010000000000005"/>
    <n v="6.68"/>
    <s v="Sprinkler"/>
    <x v="2"/>
    <n v="33.1"/>
    <d v="2024-03-21T00:00:00"/>
    <d v="2024-07-17T00:00:00"/>
    <x v="2"/>
    <n v="118"/>
    <n v="4789.88"/>
    <s v="SENS0392"/>
    <d v="2024-07-12T00:00:00"/>
    <n v="30.295777000000001"/>
    <n v="82.975139999999996"/>
    <n v="0.77"/>
    <x v="3"/>
    <n v="118"/>
    <s v="Medium"/>
    <s v="Medium Usage"/>
  </r>
  <r>
    <s v="FARM0393"/>
    <x v="0"/>
    <x v="0"/>
    <n v="28.81"/>
    <n v="6.28"/>
    <n v="29.38"/>
    <n v="269.97000000000003"/>
    <n v="66.02"/>
    <n v="7.24"/>
    <s v="Sprinkler"/>
    <x v="0"/>
    <n v="28.03"/>
    <d v="2024-02-17T00:00:00"/>
    <d v="2024-06-07T00:00:00"/>
    <x v="1"/>
    <n v="111"/>
    <n v="5028.1899999999996"/>
    <s v="SENS0393"/>
    <d v="2024-03-08T00:00:00"/>
    <n v="10.585544000000001"/>
    <n v="87.806387000000001"/>
    <n v="0.62"/>
    <x v="3"/>
    <n v="111"/>
    <s v="Medium"/>
    <s v="Medium Usage"/>
  </r>
  <r>
    <s v="FARM0394"/>
    <x v="4"/>
    <x v="2"/>
    <n v="35.43"/>
    <n v="7.47"/>
    <n v="17.21"/>
    <n v="64.989999999999995"/>
    <n v="58.65"/>
    <n v="7.76"/>
    <s v="Manual"/>
    <x v="0"/>
    <n v="7.15"/>
    <d v="2024-03-04T00:00:00"/>
    <d v="2024-06-30T00:00:00"/>
    <x v="1"/>
    <n v="118"/>
    <n v="3191.84"/>
    <s v="SENS0394"/>
    <d v="2024-06-06T00:00:00"/>
    <n v="10.130335000000001"/>
    <n v="76.779606000000001"/>
    <n v="0.44"/>
    <x v="0"/>
    <n v="118"/>
    <s v="Medium"/>
    <s v="Low Usage"/>
  </r>
  <r>
    <s v="FARM0395"/>
    <x v="2"/>
    <x v="2"/>
    <n v="19.96"/>
    <n v="7.07"/>
    <n v="29.3"/>
    <n v="218.11"/>
    <n v="75.72"/>
    <n v="7.12"/>
    <s v="Sprinkler"/>
    <x v="0"/>
    <n v="19.75"/>
    <d v="2024-03-07T00:00:00"/>
    <d v="2024-07-27T00:00:00"/>
    <x v="2"/>
    <n v="142"/>
    <n v="5114.2"/>
    <s v="SENS0395"/>
    <d v="2024-07-01T00:00:00"/>
    <n v="12.449695999999999"/>
    <n v="84.232808000000006"/>
    <n v="0.8"/>
    <x v="1"/>
    <n v="142"/>
    <s v="High"/>
    <s v="Medium Usage"/>
  </r>
  <r>
    <s v="FARM0396"/>
    <x v="0"/>
    <x v="0"/>
    <n v="24.87"/>
    <n v="5.76"/>
    <n v="19.3"/>
    <n v="69.52"/>
    <n v="73.84"/>
    <n v="6.42"/>
    <s v="None"/>
    <x v="1"/>
    <n v="31.29"/>
    <d v="2024-03-14T00:00:00"/>
    <d v="2024-07-10T00:00:00"/>
    <x v="2"/>
    <n v="118"/>
    <n v="4756.07"/>
    <s v="SENS0396"/>
    <d v="2024-05-15T00:00:00"/>
    <n v="28.292923999999999"/>
    <n v="78.338447000000002"/>
    <n v="0.4"/>
    <x v="0"/>
    <n v="118"/>
    <s v="Medium"/>
    <s v="Medium Usage"/>
  </r>
  <r>
    <s v="FARM0397"/>
    <x v="1"/>
    <x v="3"/>
    <n v="14.53"/>
    <n v="6.91"/>
    <n v="32.270000000000003"/>
    <n v="79.510000000000005"/>
    <n v="50.63"/>
    <n v="6.84"/>
    <s v="Sprinkler"/>
    <x v="2"/>
    <n v="21.62"/>
    <d v="2024-01-20T00:00:00"/>
    <d v="2024-06-12T00:00:00"/>
    <x v="1"/>
    <n v="144"/>
    <n v="3634.48"/>
    <s v="SENS0397"/>
    <d v="2024-02-19T00:00:00"/>
    <n v="19.239649"/>
    <n v="75.791811999999993"/>
    <n v="0.61"/>
    <x v="1"/>
    <n v="144"/>
    <s v="Medium"/>
    <s v="Medium Usage"/>
  </r>
  <r>
    <s v="FARM0398"/>
    <x v="2"/>
    <x v="2"/>
    <n v="44.69"/>
    <n v="6.11"/>
    <n v="24.72"/>
    <n v="247.8"/>
    <n v="47.11"/>
    <n v="7.54"/>
    <s v="Drip"/>
    <x v="1"/>
    <n v="45.01"/>
    <d v="2024-01-06T00:00:00"/>
    <d v="2024-05-27T00:00:00"/>
    <x v="0"/>
    <n v="142"/>
    <n v="4958.6400000000003"/>
    <s v="SENS0398"/>
    <d v="2024-01-06T00:00:00"/>
    <n v="13.058198000000001"/>
    <n v="76.972978999999995"/>
    <n v="0.82"/>
    <x v="2"/>
    <n v="142"/>
    <s v="Medium"/>
    <s v="High Usage"/>
  </r>
  <r>
    <s v="FARM0399"/>
    <x v="1"/>
    <x v="1"/>
    <n v="20.84"/>
    <n v="6.4"/>
    <n v="21.76"/>
    <n v="144.33000000000001"/>
    <n v="81.72"/>
    <n v="9"/>
    <s v="Sprinkler"/>
    <x v="0"/>
    <n v="27.71"/>
    <d v="2024-02-25T00:00:00"/>
    <d v="2024-06-22T00:00:00"/>
    <x v="1"/>
    <n v="118"/>
    <n v="4668.88"/>
    <s v="SENS0399"/>
    <d v="2024-03-15T00:00:00"/>
    <n v="31.658639000000001"/>
    <n v="76.504326000000006"/>
    <n v="0.78"/>
    <x v="2"/>
    <n v="118"/>
    <s v="Medium"/>
    <s v="Medium Usage"/>
  </r>
  <r>
    <s v="FARM0400"/>
    <x v="1"/>
    <x v="4"/>
    <n v="41.51"/>
    <n v="6.18"/>
    <n v="15.92"/>
    <n v="217.61"/>
    <n v="62.15"/>
    <n v="5.66"/>
    <s v="Drip"/>
    <x v="0"/>
    <n v="36.82"/>
    <d v="2024-03-21T00:00:00"/>
    <d v="2024-08-08T00:00:00"/>
    <x v="4"/>
    <n v="140"/>
    <n v="5086.38"/>
    <s v="SENS0400"/>
    <d v="2024-06-08T00:00:00"/>
    <n v="24.026109000000002"/>
    <n v="72.475632000000004"/>
    <n v="0.64"/>
    <x v="0"/>
    <n v="140"/>
    <s v="High"/>
    <s v="Medium Usage"/>
  </r>
  <r>
    <s v="FARM0401"/>
    <x v="3"/>
    <x v="1"/>
    <n v="30.19"/>
    <n v="5.61"/>
    <n v="26.4"/>
    <n v="97.35"/>
    <n v="63.79"/>
    <n v="9.3800000000000008"/>
    <s v="Drip"/>
    <x v="2"/>
    <n v="47.13"/>
    <d v="2024-01-01T00:00:00"/>
    <d v="2024-04-17T00:00:00"/>
    <x v="3"/>
    <n v="107"/>
    <n v="5147.03"/>
    <s v="SENS0401"/>
    <d v="2024-02-01T00:00:00"/>
    <n v="30.742263999999999"/>
    <n v="86.778349000000006"/>
    <n v="0.65"/>
    <x v="1"/>
    <n v="107"/>
    <s v="High"/>
    <s v="High Usage"/>
  </r>
  <r>
    <s v="FARM0402"/>
    <x v="3"/>
    <x v="1"/>
    <n v="21.22"/>
    <n v="6.68"/>
    <n v="24.83"/>
    <n v="283.45999999999998"/>
    <n v="57"/>
    <n v="5.08"/>
    <s v="Drip"/>
    <x v="2"/>
    <n v="19.28"/>
    <d v="2024-02-03T00:00:00"/>
    <d v="2024-05-10T00:00:00"/>
    <x v="0"/>
    <n v="97"/>
    <n v="5919.14"/>
    <s v="SENS0402"/>
    <d v="2024-04-12T00:00:00"/>
    <n v="14.203900000000001"/>
    <n v="72.880685"/>
    <n v="0.45"/>
    <x v="1"/>
    <n v="97"/>
    <s v="High"/>
    <s v="Medium Usage"/>
  </r>
  <r>
    <s v="FARM0403"/>
    <x v="4"/>
    <x v="2"/>
    <n v="43.33"/>
    <n v="6.86"/>
    <n v="16.18"/>
    <n v="290.27999999999997"/>
    <n v="49.07"/>
    <n v="8.2799999999999994"/>
    <s v="Manual"/>
    <x v="1"/>
    <n v="9.44"/>
    <d v="2024-01-14T00:00:00"/>
    <d v="2024-06-09T00:00:00"/>
    <x v="1"/>
    <n v="147"/>
    <n v="3296.87"/>
    <s v="SENS0403"/>
    <d v="2024-04-19T00:00:00"/>
    <n v="33.539437999999997"/>
    <n v="87.990030000000004"/>
    <n v="0.33"/>
    <x v="0"/>
    <n v="147"/>
    <s v="Medium"/>
    <s v="Low Usage"/>
  </r>
  <r>
    <s v="FARM0404"/>
    <x v="3"/>
    <x v="1"/>
    <n v="18.28"/>
    <n v="6.52"/>
    <n v="25.09"/>
    <n v="287.33999999999997"/>
    <n v="53.46"/>
    <n v="5.91"/>
    <s v="None"/>
    <x v="0"/>
    <n v="26.79"/>
    <d v="2024-02-21T00:00:00"/>
    <d v="2024-06-04T00:00:00"/>
    <x v="1"/>
    <n v="104"/>
    <n v="5654.94"/>
    <s v="SENS0404"/>
    <d v="2024-02-23T00:00:00"/>
    <n v="16.728992999999999"/>
    <n v="89.269493999999995"/>
    <n v="0.71"/>
    <x v="0"/>
    <n v="104"/>
    <s v="High"/>
    <s v="Medium Usage"/>
  </r>
  <r>
    <s v="FARM0405"/>
    <x v="3"/>
    <x v="4"/>
    <n v="20.66"/>
    <n v="6.31"/>
    <n v="16.68"/>
    <n v="208.95"/>
    <n v="50.17"/>
    <n v="9.81"/>
    <s v="Manual"/>
    <x v="2"/>
    <n v="49.34"/>
    <d v="2024-01-18T00:00:00"/>
    <d v="2024-06-16T00:00:00"/>
    <x v="1"/>
    <n v="150"/>
    <n v="3695.01"/>
    <s v="SENS0405"/>
    <d v="2024-06-08T00:00:00"/>
    <n v="21.29355"/>
    <n v="70.020021"/>
    <n v="0.57999999999999996"/>
    <x v="3"/>
    <n v="150"/>
    <s v="Medium"/>
    <s v="High Usage"/>
  </r>
  <r>
    <s v="FARM0406"/>
    <x v="4"/>
    <x v="0"/>
    <n v="12.11"/>
    <n v="7.34"/>
    <n v="20.47"/>
    <n v="112.72"/>
    <n v="74"/>
    <n v="10"/>
    <s v="Sprinkler"/>
    <x v="2"/>
    <n v="42.83"/>
    <d v="2024-02-02T00:00:00"/>
    <d v="2024-05-12T00:00:00"/>
    <x v="0"/>
    <n v="100"/>
    <n v="4956.7299999999996"/>
    <s v="SENS0406"/>
    <d v="2024-04-14T00:00:00"/>
    <n v="11.748379999999999"/>
    <n v="71.794302000000002"/>
    <n v="0.72"/>
    <x v="0"/>
    <n v="100"/>
    <s v="Medium"/>
    <s v="High Usage"/>
  </r>
  <r>
    <s v="FARM0407"/>
    <x v="3"/>
    <x v="2"/>
    <n v="40.74"/>
    <n v="5.92"/>
    <n v="25.1"/>
    <n v="250.51"/>
    <n v="84.2"/>
    <n v="9.67"/>
    <s v="Manual"/>
    <x v="2"/>
    <n v="25.37"/>
    <d v="2024-01-22T00:00:00"/>
    <d v="2024-05-11T00:00:00"/>
    <x v="0"/>
    <n v="110"/>
    <n v="3366.52"/>
    <s v="SENS0407"/>
    <d v="2024-03-20T00:00:00"/>
    <n v="33.974817000000002"/>
    <n v="76.569145000000006"/>
    <n v="0.85"/>
    <x v="0"/>
    <n v="110"/>
    <s v="Medium"/>
    <s v="Medium Usage"/>
  </r>
  <r>
    <s v="FARM0408"/>
    <x v="0"/>
    <x v="1"/>
    <n v="26.68"/>
    <n v="7.3"/>
    <n v="28.45"/>
    <n v="153.29"/>
    <n v="84.76"/>
    <n v="8.2200000000000006"/>
    <s v="None"/>
    <x v="2"/>
    <n v="8.65"/>
    <d v="2024-03-21T00:00:00"/>
    <d v="2024-06-23T00:00:00"/>
    <x v="1"/>
    <n v="94"/>
    <n v="4154.6000000000004"/>
    <s v="SENS0408"/>
    <d v="2024-06-14T00:00:00"/>
    <n v="21.129418999999999"/>
    <n v="72.468311999999997"/>
    <n v="0.88"/>
    <x v="2"/>
    <n v="94"/>
    <s v="Medium"/>
    <s v="Low Usage"/>
  </r>
  <r>
    <s v="FARM0409"/>
    <x v="3"/>
    <x v="2"/>
    <n v="23.54"/>
    <n v="7.18"/>
    <n v="31.24"/>
    <n v="295.95"/>
    <n v="46.24"/>
    <n v="6.22"/>
    <s v="Sprinkler"/>
    <x v="1"/>
    <n v="5.42"/>
    <d v="2024-03-01T00:00:00"/>
    <d v="2024-07-17T00:00:00"/>
    <x v="2"/>
    <n v="138"/>
    <n v="3124.54"/>
    <s v="SENS0409"/>
    <d v="2024-05-31T00:00:00"/>
    <n v="14.787792"/>
    <n v="86.325615999999997"/>
    <n v="0.68"/>
    <x v="0"/>
    <n v="138"/>
    <s v="Medium"/>
    <s v="Low Usage"/>
  </r>
  <r>
    <s v="FARM0410"/>
    <x v="4"/>
    <x v="3"/>
    <n v="43.86"/>
    <n v="5.57"/>
    <n v="24.86"/>
    <n v="226.01"/>
    <n v="70.3"/>
    <n v="4.04"/>
    <s v="None"/>
    <x v="0"/>
    <n v="44.15"/>
    <d v="2024-03-17T00:00:00"/>
    <d v="2024-07-16T00:00:00"/>
    <x v="2"/>
    <n v="121"/>
    <n v="2681.91"/>
    <s v="SENS0410"/>
    <d v="2024-04-10T00:00:00"/>
    <n v="26.495961000000001"/>
    <n v="81.314141000000006"/>
    <n v="0.71"/>
    <x v="0"/>
    <n v="121"/>
    <s v="Low"/>
    <s v="High Usage"/>
  </r>
  <r>
    <s v="FARM0411"/>
    <x v="0"/>
    <x v="1"/>
    <n v="14.49"/>
    <n v="5.63"/>
    <n v="20.190000000000001"/>
    <n v="192.48"/>
    <n v="51.4"/>
    <n v="7.14"/>
    <s v="Manual"/>
    <x v="0"/>
    <n v="43.15"/>
    <d v="2024-01-23T00:00:00"/>
    <d v="2024-06-04T00:00:00"/>
    <x v="1"/>
    <n v="133"/>
    <n v="4131.7700000000004"/>
    <s v="SENS0411"/>
    <d v="2024-03-27T00:00:00"/>
    <n v="27.017009000000002"/>
    <n v="87.662038999999993"/>
    <n v="0.3"/>
    <x v="2"/>
    <n v="133"/>
    <s v="Medium"/>
    <s v="High Usage"/>
  </r>
  <r>
    <s v="FARM0412"/>
    <x v="0"/>
    <x v="2"/>
    <n v="25.14"/>
    <n v="7.49"/>
    <n v="20.48"/>
    <n v="220.04"/>
    <n v="63.33"/>
    <n v="6.17"/>
    <s v="Drip"/>
    <x v="2"/>
    <n v="15.1"/>
    <d v="2024-02-14T00:00:00"/>
    <d v="2024-06-17T00:00:00"/>
    <x v="1"/>
    <n v="124"/>
    <n v="3795.45"/>
    <s v="SENS0412"/>
    <d v="2024-02-14T00:00:00"/>
    <n v="19.796472000000001"/>
    <n v="76.694115999999994"/>
    <n v="0.83"/>
    <x v="1"/>
    <n v="124"/>
    <s v="Medium"/>
    <s v="Medium Usage"/>
  </r>
  <r>
    <s v="FARM0413"/>
    <x v="4"/>
    <x v="3"/>
    <n v="43.52"/>
    <n v="7.33"/>
    <n v="18.940000000000001"/>
    <n v="132.31"/>
    <n v="43.14"/>
    <n v="7.75"/>
    <s v="Drip"/>
    <x v="1"/>
    <n v="24.44"/>
    <d v="2024-01-19T00:00:00"/>
    <d v="2024-06-08T00:00:00"/>
    <x v="1"/>
    <n v="141"/>
    <n v="4505.1899999999996"/>
    <s v="SENS0413"/>
    <d v="2024-04-13T00:00:00"/>
    <n v="31.012689999999999"/>
    <n v="74.943071000000003"/>
    <n v="0.57999999999999996"/>
    <x v="3"/>
    <n v="141"/>
    <s v="Medium"/>
    <s v="Medium Usage"/>
  </r>
  <r>
    <s v="FARM0414"/>
    <x v="0"/>
    <x v="2"/>
    <n v="28.19"/>
    <n v="5.97"/>
    <n v="16.46"/>
    <n v="199.99"/>
    <n v="61.93"/>
    <n v="4.57"/>
    <s v="None"/>
    <x v="2"/>
    <n v="10.62"/>
    <d v="2024-01-02T00:00:00"/>
    <d v="2024-04-25T00:00:00"/>
    <x v="3"/>
    <n v="114"/>
    <n v="3253.12"/>
    <s v="SENS0414"/>
    <d v="2024-04-19T00:00:00"/>
    <n v="27.334091999999998"/>
    <n v="85.652924999999996"/>
    <n v="0.34"/>
    <x v="2"/>
    <n v="114"/>
    <s v="Medium"/>
    <s v="Low Usage"/>
  </r>
  <r>
    <s v="FARM0415"/>
    <x v="0"/>
    <x v="2"/>
    <n v="31.38"/>
    <n v="6.36"/>
    <n v="17.04"/>
    <n v="63.95"/>
    <n v="42.61"/>
    <n v="9.1"/>
    <s v="None"/>
    <x v="0"/>
    <n v="32.78"/>
    <d v="2024-02-08T00:00:00"/>
    <d v="2024-07-02T00:00:00"/>
    <x v="2"/>
    <n v="145"/>
    <n v="4398.3"/>
    <s v="SENS0415"/>
    <d v="2024-02-10T00:00:00"/>
    <n v="21.335280999999998"/>
    <n v="79.284182000000001"/>
    <n v="0.56000000000000005"/>
    <x v="1"/>
    <n v="145"/>
    <s v="Medium"/>
    <s v="Medium Usage"/>
  </r>
  <r>
    <s v="FARM0416"/>
    <x v="2"/>
    <x v="0"/>
    <n v="25.89"/>
    <n v="6.16"/>
    <n v="18.850000000000001"/>
    <n v="75.67"/>
    <n v="69.760000000000005"/>
    <n v="4.41"/>
    <s v="Sprinkler"/>
    <x v="2"/>
    <n v="10.67"/>
    <d v="2024-03-09T00:00:00"/>
    <d v="2024-06-29T00:00:00"/>
    <x v="1"/>
    <n v="112"/>
    <n v="3684.03"/>
    <s v="SENS0416"/>
    <d v="2024-06-09T00:00:00"/>
    <n v="25.521272"/>
    <n v="73.718468000000001"/>
    <n v="0.38"/>
    <x v="1"/>
    <n v="112"/>
    <s v="Medium"/>
    <s v="Low Usage"/>
  </r>
  <r>
    <s v="FARM0417"/>
    <x v="0"/>
    <x v="4"/>
    <n v="20.91"/>
    <n v="6.37"/>
    <n v="34.19"/>
    <n v="238.59"/>
    <n v="55.56"/>
    <n v="9.31"/>
    <s v="Sprinkler"/>
    <x v="0"/>
    <n v="26.13"/>
    <d v="2024-03-11T00:00:00"/>
    <d v="2024-06-27T00:00:00"/>
    <x v="1"/>
    <n v="108"/>
    <n v="3475.32"/>
    <s v="SENS0417"/>
    <d v="2024-03-12T00:00:00"/>
    <n v="22.942015000000001"/>
    <n v="83.153536000000003"/>
    <n v="0.39"/>
    <x v="0"/>
    <n v="108"/>
    <s v="Medium"/>
    <s v="Medium Usage"/>
  </r>
  <r>
    <s v="FARM0418"/>
    <x v="3"/>
    <x v="1"/>
    <n v="40.049999999999997"/>
    <n v="6.34"/>
    <n v="18.91"/>
    <n v="100.09"/>
    <n v="85.43"/>
    <n v="8.7100000000000009"/>
    <s v="Manual"/>
    <x v="0"/>
    <n v="35.049999999999997"/>
    <d v="2024-03-23T00:00:00"/>
    <d v="2024-07-20T00:00:00"/>
    <x v="2"/>
    <n v="119"/>
    <n v="4399.05"/>
    <s v="SENS0418"/>
    <d v="2024-05-04T00:00:00"/>
    <n v="31.300217"/>
    <n v="81.321938000000003"/>
    <n v="0.5"/>
    <x v="3"/>
    <n v="119"/>
    <s v="Medium"/>
    <s v="Medium Usage"/>
  </r>
  <r>
    <s v="FARM0419"/>
    <x v="1"/>
    <x v="2"/>
    <n v="15.68"/>
    <n v="6.41"/>
    <n v="30.78"/>
    <n v="60.55"/>
    <n v="50.97"/>
    <n v="4.0199999999999996"/>
    <s v="Sprinkler"/>
    <x v="2"/>
    <n v="15.36"/>
    <d v="2024-03-07T00:00:00"/>
    <d v="2024-06-20T00:00:00"/>
    <x v="1"/>
    <n v="105"/>
    <n v="3922.98"/>
    <s v="SENS0419"/>
    <d v="2024-06-13T00:00:00"/>
    <n v="33.814706000000001"/>
    <n v="76.630302"/>
    <n v="0.74"/>
    <x v="0"/>
    <n v="105"/>
    <s v="Medium"/>
    <s v="Medium Usage"/>
  </r>
  <r>
    <s v="FARM0420"/>
    <x v="1"/>
    <x v="4"/>
    <n v="38.909999999999997"/>
    <n v="5.51"/>
    <n v="15.2"/>
    <n v="139.47"/>
    <n v="67.73"/>
    <n v="4.8499999999999996"/>
    <s v="None"/>
    <x v="0"/>
    <n v="33.409999999999997"/>
    <d v="2024-02-02T00:00:00"/>
    <d v="2024-05-03T00:00:00"/>
    <x v="0"/>
    <n v="91"/>
    <n v="2796.49"/>
    <s v="SENS0420"/>
    <d v="2024-03-09T00:00:00"/>
    <n v="14.353664999999999"/>
    <n v="87.707644999999999"/>
    <n v="0.73"/>
    <x v="3"/>
    <n v="91"/>
    <s v="Low"/>
    <s v="Medium Usage"/>
  </r>
  <r>
    <s v="FARM0421"/>
    <x v="3"/>
    <x v="4"/>
    <n v="16.25"/>
    <n v="5.54"/>
    <n v="31.86"/>
    <n v="277.66000000000003"/>
    <n v="41.05"/>
    <n v="8.06"/>
    <s v="None"/>
    <x v="2"/>
    <n v="40.43"/>
    <d v="2024-01-11T00:00:00"/>
    <d v="2024-06-08T00:00:00"/>
    <x v="1"/>
    <n v="149"/>
    <n v="2840.95"/>
    <s v="SENS0421"/>
    <d v="2024-05-06T00:00:00"/>
    <n v="16.003748000000002"/>
    <n v="86.189755000000005"/>
    <n v="0.7"/>
    <x v="2"/>
    <n v="149"/>
    <s v="Low"/>
    <s v="High Usage"/>
  </r>
  <r>
    <s v="FARM0422"/>
    <x v="0"/>
    <x v="0"/>
    <n v="15.06"/>
    <n v="7.35"/>
    <n v="30.9"/>
    <n v="97.92"/>
    <n v="58.91"/>
    <n v="6.25"/>
    <s v="None"/>
    <x v="2"/>
    <n v="16"/>
    <d v="2024-01-25T00:00:00"/>
    <d v="2024-06-02T00:00:00"/>
    <x v="1"/>
    <n v="129"/>
    <n v="4349.3"/>
    <s v="SENS0422"/>
    <d v="2024-04-09T00:00:00"/>
    <n v="29.739695000000001"/>
    <n v="76.553612000000001"/>
    <n v="0.33"/>
    <x v="3"/>
    <n v="129"/>
    <s v="Medium"/>
    <s v="Medium Usage"/>
  </r>
  <r>
    <s v="FARM0423"/>
    <x v="4"/>
    <x v="1"/>
    <n v="43.89"/>
    <n v="7.27"/>
    <n v="19.18"/>
    <n v="70.349999999999994"/>
    <n v="63.53"/>
    <n v="7.98"/>
    <s v="Drip"/>
    <x v="0"/>
    <n v="27.89"/>
    <d v="2024-03-25T00:00:00"/>
    <d v="2024-07-25T00:00:00"/>
    <x v="2"/>
    <n v="122"/>
    <n v="3497.06"/>
    <s v="SENS0423"/>
    <d v="2024-05-30T00:00:00"/>
    <n v="21.606681999999999"/>
    <n v="76.436463000000003"/>
    <n v="0.52"/>
    <x v="2"/>
    <n v="122"/>
    <s v="Medium"/>
    <s v="Medium Usage"/>
  </r>
  <r>
    <s v="FARM0424"/>
    <x v="1"/>
    <x v="3"/>
    <n v="19.39"/>
    <n v="6.3"/>
    <n v="33.42"/>
    <n v="196"/>
    <n v="41.83"/>
    <n v="5.32"/>
    <s v="Sprinkler"/>
    <x v="1"/>
    <n v="43.84"/>
    <d v="2024-02-07T00:00:00"/>
    <d v="2024-05-26T00:00:00"/>
    <x v="0"/>
    <n v="109"/>
    <n v="3700.09"/>
    <s v="SENS0424"/>
    <d v="2024-03-26T00:00:00"/>
    <n v="24.28426"/>
    <n v="88.709978000000007"/>
    <n v="0.52"/>
    <x v="1"/>
    <n v="109"/>
    <s v="Medium"/>
    <s v="High Usage"/>
  </r>
  <r>
    <s v="FARM0425"/>
    <x v="4"/>
    <x v="0"/>
    <n v="20.329999999999998"/>
    <n v="6.54"/>
    <n v="19.600000000000001"/>
    <n v="60.29"/>
    <n v="65.61"/>
    <n v="6.02"/>
    <s v="None"/>
    <x v="1"/>
    <n v="24.46"/>
    <d v="2024-02-26T00:00:00"/>
    <d v="2024-06-26T00:00:00"/>
    <x v="1"/>
    <n v="121"/>
    <n v="3268.08"/>
    <s v="SENS0425"/>
    <d v="2024-04-14T00:00:00"/>
    <n v="10.617955"/>
    <n v="78.833770000000001"/>
    <n v="0.46"/>
    <x v="1"/>
    <n v="121"/>
    <s v="Medium"/>
    <s v="Medium Usage"/>
  </r>
  <r>
    <s v="FARM0426"/>
    <x v="2"/>
    <x v="0"/>
    <n v="20.309999999999999"/>
    <n v="6.5"/>
    <n v="25.93"/>
    <n v="69.540000000000006"/>
    <n v="53.82"/>
    <n v="5.37"/>
    <s v="Drip"/>
    <x v="0"/>
    <n v="21.21"/>
    <d v="2024-03-07T00:00:00"/>
    <d v="2024-06-26T00:00:00"/>
    <x v="1"/>
    <n v="111"/>
    <n v="2786.59"/>
    <s v="SENS0426"/>
    <d v="2024-04-18T00:00:00"/>
    <n v="16.250591"/>
    <n v="84.904227000000006"/>
    <n v="0.76"/>
    <x v="3"/>
    <n v="111"/>
    <s v="Low"/>
    <s v="Medium Usage"/>
  </r>
  <r>
    <s v="FARM0427"/>
    <x v="4"/>
    <x v="1"/>
    <n v="44.93"/>
    <n v="7.5"/>
    <n v="30.05"/>
    <n v="234.96"/>
    <n v="85.62"/>
    <n v="4.05"/>
    <s v="Manual"/>
    <x v="1"/>
    <n v="42"/>
    <d v="2024-02-13T00:00:00"/>
    <d v="2024-07-04T00:00:00"/>
    <x v="2"/>
    <n v="142"/>
    <n v="4319.82"/>
    <s v="SENS0427"/>
    <d v="2024-02-16T00:00:00"/>
    <n v="21.8001"/>
    <n v="80.252938999999998"/>
    <n v="0.76"/>
    <x v="0"/>
    <n v="142"/>
    <s v="Medium"/>
    <s v="High Usage"/>
  </r>
  <r>
    <s v="FARM0428"/>
    <x v="1"/>
    <x v="4"/>
    <n v="17.940000000000001"/>
    <n v="7"/>
    <n v="24.49"/>
    <n v="178.96"/>
    <n v="79.3"/>
    <n v="8.5500000000000007"/>
    <s v="None"/>
    <x v="1"/>
    <n v="40.64"/>
    <d v="2024-02-28T00:00:00"/>
    <d v="2024-06-09T00:00:00"/>
    <x v="1"/>
    <n v="102"/>
    <n v="3715.17"/>
    <s v="SENS0428"/>
    <d v="2024-05-27T00:00:00"/>
    <n v="20.442197"/>
    <n v="78.773616000000004"/>
    <n v="0.81"/>
    <x v="1"/>
    <n v="102"/>
    <s v="Medium"/>
    <s v="High Usage"/>
  </r>
  <r>
    <s v="FARM0429"/>
    <x v="2"/>
    <x v="4"/>
    <n v="30.21"/>
    <n v="5.76"/>
    <n v="33.869999999999997"/>
    <n v="52.42"/>
    <n v="80.52"/>
    <n v="9.01"/>
    <s v="Manual"/>
    <x v="0"/>
    <n v="23.86"/>
    <d v="2024-03-25T00:00:00"/>
    <d v="2024-07-18T00:00:00"/>
    <x v="2"/>
    <n v="115"/>
    <n v="5051.37"/>
    <s v="SENS0429"/>
    <d v="2024-06-21T00:00:00"/>
    <n v="23.440100000000001"/>
    <n v="76.521590000000003"/>
    <n v="0.31"/>
    <x v="1"/>
    <n v="115"/>
    <s v="Medium"/>
    <s v="Medium Usage"/>
  </r>
  <r>
    <s v="FARM0430"/>
    <x v="4"/>
    <x v="4"/>
    <n v="44.2"/>
    <n v="7.49"/>
    <n v="26.36"/>
    <n v="249.79"/>
    <n v="85.69"/>
    <n v="7.44"/>
    <s v="None"/>
    <x v="1"/>
    <n v="14.19"/>
    <d v="2024-02-03T00:00:00"/>
    <d v="2024-06-06T00:00:00"/>
    <x v="1"/>
    <n v="124"/>
    <n v="3545.74"/>
    <s v="SENS0430"/>
    <d v="2024-04-03T00:00:00"/>
    <n v="12.715959"/>
    <n v="81.390299999999996"/>
    <n v="0.56999999999999995"/>
    <x v="3"/>
    <n v="124"/>
    <s v="Medium"/>
    <s v="Low Usage"/>
  </r>
  <r>
    <s v="FARM0431"/>
    <x v="0"/>
    <x v="4"/>
    <n v="13.65"/>
    <n v="6.61"/>
    <n v="15.64"/>
    <n v="222.26"/>
    <n v="64.430000000000007"/>
    <n v="5.12"/>
    <s v="Drip"/>
    <x v="1"/>
    <n v="17.77"/>
    <d v="2024-01-10T00:00:00"/>
    <d v="2024-05-21T00:00:00"/>
    <x v="0"/>
    <n v="132"/>
    <n v="4097.58"/>
    <s v="SENS0431"/>
    <d v="2024-05-05T00:00:00"/>
    <n v="11.43633"/>
    <n v="80.370633999999995"/>
    <n v="0.4"/>
    <x v="2"/>
    <n v="132"/>
    <s v="Medium"/>
    <s v="Medium Usage"/>
  </r>
  <r>
    <s v="FARM0432"/>
    <x v="1"/>
    <x v="4"/>
    <n v="44.64"/>
    <n v="5.76"/>
    <n v="23.37"/>
    <n v="235.79"/>
    <n v="59.45"/>
    <n v="9.42"/>
    <s v="Sprinkler"/>
    <x v="0"/>
    <n v="44.17"/>
    <d v="2024-02-14T00:00:00"/>
    <d v="2024-07-05T00:00:00"/>
    <x v="2"/>
    <n v="142"/>
    <n v="4838.6899999999996"/>
    <s v="SENS0432"/>
    <d v="2024-06-14T00:00:00"/>
    <n v="13.969531"/>
    <n v="81.501828000000003"/>
    <n v="0.49"/>
    <x v="0"/>
    <n v="142"/>
    <s v="Medium"/>
    <s v="High Usage"/>
  </r>
  <r>
    <s v="FARM0433"/>
    <x v="3"/>
    <x v="3"/>
    <n v="19.64"/>
    <n v="5.51"/>
    <n v="17.850000000000001"/>
    <n v="65.989999999999995"/>
    <n v="59.96"/>
    <n v="8.85"/>
    <s v="Manual"/>
    <x v="2"/>
    <n v="44.57"/>
    <d v="2024-02-15T00:00:00"/>
    <d v="2024-06-20T00:00:00"/>
    <x v="1"/>
    <n v="126"/>
    <n v="2156.34"/>
    <s v="SENS0433"/>
    <d v="2024-02-26T00:00:00"/>
    <n v="17.197794999999999"/>
    <n v="87.619881000000007"/>
    <n v="0.56999999999999995"/>
    <x v="3"/>
    <n v="126"/>
    <s v="Low"/>
    <s v="High Usage"/>
  </r>
  <r>
    <s v="FARM0434"/>
    <x v="1"/>
    <x v="1"/>
    <n v="38.82"/>
    <n v="7.2"/>
    <n v="23.3"/>
    <n v="94.89"/>
    <n v="70.89"/>
    <n v="6.59"/>
    <s v="None"/>
    <x v="2"/>
    <n v="13.25"/>
    <d v="2024-03-04T00:00:00"/>
    <d v="2024-06-27T00:00:00"/>
    <x v="1"/>
    <n v="115"/>
    <n v="4794.58"/>
    <s v="SENS0434"/>
    <d v="2024-03-09T00:00:00"/>
    <n v="15.992381"/>
    <n v="87.410792000000001"/>
    <n v="0.46"/>
    <x v="3"/>
    <n v="115"/>
    <s v="Medium"/>
    <s v="Low Usage"/>
  </r>
  <r>
    <s v="FARM0435"/>
    <x v="0"/>
    <x v="4"/>
    <n v="41.81"/>
    <n v="6.32"/>
    <n v="30.24"/>
    <n v="80.31"/>
    <n v="58.44"/>
    <n v="8.5299999999999994"/>
    <s v="Manual"/>
    <x v="1"/>
    <n v="25.29"/>
    <d v="2024-02-07T00:00:00"/>
    <d v="2024-06-08T00:00:00"/>
    <x v="1"/>
    <n v="122"/>
    <n v="2178.54"/>
    <s v="SENS0435"/>
    <d v="2024-02-10T00:00:00"/>
    <n v="11.829886999999999"/>
    <n v="83.889713999999998"/>
    <n v="0.75"/>
    <x v="2"/>
    <n v="122"/>
    <s v="Low"/>
    <s v="Medium Usage"/>
  </r>
  <r>
    <s v="FARM0436"/>
    <x v="2"/>
    <x v="3"/>
    <n v="39.950000000000003"/>
    <n v="6.29"/>
    <n v="15.21"/>
    <n v="78.67"/>
    <n v="85.86"/>
    <n v="5.96"/>
    <s v="None"/>
    <x v="1"/>
    <n v="25.76"/>
    <d v="2024-01-18T00:00:00"/>
    <d v="2024-05-29T00:00:00"/>
    <x v="0"/>
    <n v="132"/>
    <n v="2969.17"/>
    <s v="SENS0436"/>
    <d v="2024-05-09T00:00:00"/>
    <n v="13.506394"/>
    <n v="86.408534000000003"/>
    <n v="0.8"/>
    <x v="0"/>
    <n v="132"/>
    <s v="Low"/>
    <s v="Medium Usage"/>
  </r>
  <r>
    <s v="FARM0437"/>
    <x v="0"/>
    <x v="1"/>
    <n v="13.52"/>
    <n v="6.09"/>
    <n v="25.69"/>
    <n v="147.71"/>
    <n v="43.88"/>
    <n v="8.58"/>
    <s v="Manual"/>
    <x v="0"/>
    <n v="24.83"/>
    <d v="2024-01-07T00:00:00"/>
    <d v="2024-05-21T00:00:00"/>
    <x v="0"/>
    <n v="135"/>
    <n v="2137.7800000000002"/>
    <s v="SENS0437"/>
    <d v="2024-03-02T00:00:00"/>
    <n v="21.051454"/>
    <n v="70.955119999999994"/>
    <n v="0.68"/>
    <x v="1"/>
    <n v="135"/>
    <s v="Low"/>
    <s v="Medium Usage"/>
  </r>
  <r>
    <s v="FARM0438"/>
    <x v="1"/>
    <x v="2"/>
    <n v="25.54"/>
    <n v="6.7"/>
    <n v="15.97"/>
    <n v="144.35"/>
    <n v="50.09"/>
    <n v="5.5"/>
    <s v="Sprinkler"/>
    <x v="0"/>
    <n v="9.11"/>
    <d v="2024-02-01T00:00:00"/>
    <d v="2024-05-01T00:00:00"/>
    <x v="0"/>
    <n v="90"/>
    <n v="3348.47"/>
    <s v="SENS0438"/>
    <d v="2024-02-25T00:00:00"/>
    <n v="26.998988000000001"/>
    <n v="71.26343"/>
    <n v="0.88"/>
    <x v="1"/>
    <n v="90"/>
    <s v="Medium"/>
    <s v="Low Usage"/>
  </r>
  <r>
    <s v="FARM0439"/>
    <x v="4"/>
    <x v="4"/>
    <n v="11.54"/>
    <n v="6.53"/>
    <n v="31.31"/>
    <n v="130.66999999999999"/>
    <n v="71.34"/>
    <n v="7.75"/>
    <s v="None"/>
    <x v="1"/>
    <n v="10.44"/>
    <d v="2024-01-04T00:00:00"/>
    <d v="2024-04-25T00:00:00"/>
    <x v="3"/>
    <n v="112"/>
    <n v="3293.47"/>
    <s v="SENS0439"/>
    <d v="2024-01-05T00:00:00"/>
    <n v="20.053487000000001"/>
    <n v="76.324804"/>
    <n v="0.53"/>
    <x v="2"/>
    <n v="112"/>
    <s v="Medium"/>
    <s v="Low Usage"/>
  </r>
  <r>
    <s v="FARM0440"/>
    <x v="4"/>
    <x v="0"/>
    <n v="33.03"/>
    <n v="6.06"/>
    <n v="27.48"/>
    <n v="60.98"/>
    <n v="84.27"/>
    <n v="6.47"/>
    <s v="None"/>
    <x v="0"/>
    <n v="37.06"/>
    <d v="2024-03-06T00:00:00"/>
    <d v="2024-06-20T00:00:00"/>
    <x v="1"/>
    <n v="106"/>
    <n v="5836.14"/>
    <s v="SENS0440"/>
    <d v="2024-05-21T00:00:00"/>
    <n v="18.108857"/>
    <n v="82.617478000000006"/>
    <n v="0.53"/>
    <x v="0"/>
    <n v="106"/>
    <s v="High"/>
    <s v="Medium Usage"/>
  </r>
  <r>
    <s v="FARM0441"/>
    <x v="2"/>
    <x v="4"/>
    <n v="32.24"/>
    <n v="7.27"/>
    <n v="21.36"/>
    <n v="262.89"/>
    <n v="64.11"/>
    <n v="6.01"/>
    <s v="None"/>
    <x v="1"/>
    <n v="28"/>
    <d v="2024-03-08T00:00:00"/>
    <d v="2024-07-08T00:00:00"/>
    <x v="2"/>
    <n v="122"/>
    <n v="4349.87"/>
    <s v="SENS0441"/>
    <d v="2024-03-09T00:00:00"/>
    <n v="15.815148000000001"/>
    <n v="82.326972999999995"/>
    <n v="0.84"/>
    <x v="3"/>
    <n v="122"/>
    <s v="Medium"/>
    <s v="Medium Usage"/>
  </r>
  <r>
    <s v="FARM0442"/>
    <x v="4"/>
    <x v="3"/>
    <n v="36.5"/>
    <n v="6.74"/>
    <n v="16.2"/>
    <n v="143.63"/>
    <n v="54.83"/>
    <n v="4.91"/>
    <s v="Sprinkler"/>
    <x v="2"/>
    <n v="6.71"/>
    <d v="2024-03-20T00:00:00"/>
    <d v="2024-08-17T00:00:00"/>
    <x v="4"/>
    <n v="150"/>
    <n v="3774.9"/>
    <s v="SENS0442"/>
    <d v="2024-06-12T00:00:00"/>
    <n v="13.356674999999999"/>
    <n v="76.350773000000004"/>
    <n v="0.77"/>
    <x v="1"/>
    <n v="150"/>
    <s v="Medium"/>
    <s v="Low Usage"/>
  </r>
  <r>
    <s v="FARM0443"/>
    <x v="3"/>
    <x v="3"/>
    <n v="32.68"/>
    <n v="6.08"/>
    <n v="15.47"/>
    <n v="261.73"/>
    <n v="56.56"/>
    <n v="5.45"/>
    <s v="Drip"/>
    <x v="2"/>
    <n v="49.48"/>
    <d v="2024-03-23T00:00:00"/>
    <d v="2024-08-06T00:00:00"/>
    <x v="4"/>
    <n v="136"/>
    <n v="2889.78"/>
    <s v="SENS0443"/>
    <d v="2024-06-28T00:00:00"/>
    <n v="23.036798000000001"/>
    <n v="73.670908999999995"/>
    <n v="0.68"/>
    <x v="1"/>
    <n v="136"/>
    <s v="Low"/>
    <s v="High Usage"/>
  </r>
  <r>
    <s v="FARM0444"/>
    <x v="1"/>
    <x v="0"/>
    <n v="43.38"/>
    <n v="5.6"/>
    <n v="34.840000000000003"/>
    <n v="284.57"/>
    <n v="46.28"/>
    <n v="5.04"/>
    <s v="Sprinkler"/>
    <x v="0"/>
    <n v="27.83"/>
    <d v="2024-02-24T00:00:00"/>
    <d v="2024-06-22T00:00:00"/>
    <x v="1"/>
    <n v="119"/>
    <n v="3245.85"/>
    <s v="SENS0444"/>
    <d v="2024-05-26T00:00:00"/>
    <n v="14.938407"/>
    <n v="78.480335999999994"/>
    <n v="0.66"/>
    <x v="3"/>
    <n v="119"/>
    <s v="Medium"/>
    <s v="Medium Usage"/>
  </r>
  <r>
    <s v="FARM0445"/>
    <x v="2"/>
    <x v="1"/>
    <n v="25.69"/>
    <n v="6.77"/>
    <n v="20.440000000000001"/>
    <n v="245.32"/>
    <n v="44"/>
    <n v="9.84"/>
    <s v="None"/>
    <x v="1"/>
    <n v="12.55"/>
    <d v="2024-02-14T00:00:00"/>
    <d v="2024-06-15T00:00:00"/>
    <x v="1"/>
    <n v="122"/>
    <n v="4437.58"/>
    <s v="SENS0445"/>
    <d v="2024-04-09T00:00:00"/>
    <n v="29.008112000000001"/>
    <n v="86.392076000000003"/>
    <n v="0.78"/>
    <x v="1"/>
    <n v="122"/>
    <s v="Medium"/>
    <s v="Low Usage"/>
  </r>
  <r>
    <s v="FARM0446"/>
    <x v="1"/>
    <x v="3"/>
    <n v="39.89"/>
    <n v="7.02"/>
    <n v="33.43"/>
    <n v="198.8"/>
    <n v="47.64"/>
    <n v="8.36"/>
    <s v="Manual"/>
    <x v="1"/>
    <n v="25.86"/>
    <d v="2024-02-10T00:00:00"/>
    <d v="2024-06-03T00:00:00"/>
    <x v="1"/>
    <n v="114"/>
    <n v="4248.57"/>
    <s v="SENS0446"/>
    <d v="2024-04-11T00:00:00"/>
    <n v="11.798491"/>
    <n v="72.733126999999996"/>
    <n v="0.57999999999999996"/>
    <x v="0"/>
    <n v="114"/>
    <s v="Medium"/>
    <s v="Medium Usage"/>
  </r>
  <r>
    <s v="FARM0447"/>
    <x v="4"/>
    <x v="0"/>
    <n v="10.45"/>
    <n v="6.5"/>
    <n v="29.51"/>
    <n v="172.86"/>
    <n v="86.28"/>
    <n v="9.64"/>
    <s v="Manual"/>
    <x v="1"/>
    <n v="27.03"/>
    <d v="2024-03-19T00:00:00"/>
    <d v="2024-06-21T00:00:00"/>
    <x v="1"/>
    <n v="94"/>
    <n v="3635.15"/>
    <s v="SENS0447"/>
    <d v="2024-03-23T00:00:00"/>
    <n v="34.811812000000003"/>
    <n v="72.489549999999994"/>
    <n v="0.86"/>
    <x v="0"/>
    <n v="94"/>
    <s v="Medium"/>
    <s v="Medium Usage"/>
  </r>
  <r>
    <s v="FARM0448"/>
    <x v="4"/>
    <x v="3"/>
    <n v="43.5"/>
    <n v="7.04"/>
    <n v="30.03"/>
    <n v="137.13999999999999"/>
    <n v="75.459999999999994"/>
    <n v="7.81"/>
    <s v="Manual"/>
    <x v="2"/>
    <n v="7.6"/>
    <d v="2024-02-14T00:00:00"/>
    <d v="2024-06-30T00:00:00"/>
    <x v="1"/>
    <n v="137"/>
    <n v="2987.17"/>
    <s v="SENS0448"/>
    <d v="2024-06-15T00:00:00"/>
    <n v="10.862689"/>
    <n v="86.262528000000003"/>
    <n v="0.68"/>
    <x v="1"/>
    <n v="137"/>
    <s v="Low"/>
    <s v="Low Usage"/>
  </r>
  <r>
    <s v="FARM0449"/>
    <x v="4"/>
    <x v="2"/>
    <n v="31.19"/>
    <n v="7.39"/>
    <n v="17.95"/>
    <n v="111.85"/>
    <n v="68.92"/>
    <n v="7.98"/>
    <s v="Sprinkler"/>
    <x v="0"/>
    <n v="10.25"/>
    <d v="2024-01-21T00:00:00"/>
    <d v="2024-06-04T00:00:00"/>
    <x v="1"/>
    <n v="135"/>
    <n v="5667.53"/>
    <s v="SENS0449"/>
    <d v="2024-05-01T00:00:00"/>
    <n v="27.651744000000001"/>
    <n v="89.482911999999999"/>
    <n v="0.35"/>
    <x v="0"/>
    <n v="135"/>
    <s v="High"/>
    <s v="Low Usage"/>
  </r>
  <r>
    <s v="FARM0450"/>
    <x v="1"/>
    <x v="4"/>
    <n v="39.04"/>
    <n v="6.01"/>
    <n v="21.04"/>
    <n v="291.92"/>
    <n v="72.92"/>
    <n v="6.3"/>
    <s v="Manual"/>
    <x v="2"/>
    <n v="23.52"/>
    <d v="2024-03-28T00:00:00"/>
    <d v="2024-07-01T00:00:00"/>
    <x v="2"/>
    <n v="95"/>
    <n v="2437.1"/>
    <s v="SENS0450"/>
    <d v="2024-06-09T00:00:00"/>
    <n v="29.417278"/>
    <n v="76.887855999999999"/>
    <n v="0.39"/>
    <x v="0"/>
    <n v="95"/>
    <s v="Low"/>
    <s v="Medium Usage"/>
  </r>
  <r>
    <s v="FARM0451"/>
    <x v="1"/>
    <x v="2"/>
    <n v="10.220000000000001"/>
    <n v="5.84"/>
    <n v="24.83"/>
    <n v="74.22"/>
    <n v="78.69"/>
    <n v="6.51"/>
    <s v="None"/>
    <x v="2"/>
    <n v="17.98"/>
    <d v="2024-02-06T00:00:00"/>
    <d v="2024-05-17T00:00:00"/>
    <x v="0"/>
    <n v="101"/>
    <n v="3498.61"/>
    <s v="SENS0451"/>
    <d v="2024-05-06T00:00:00"/>
    <n v="13.358302"/>
    <n v="79.729425000000006"/>
    <n v="0.6"/>
    <x v="1"/>
    <n v="101"/>
    <s v="Medium"/>
    <s v="Medium Usage"/>
  </r>
  <r>
    <s v="FARM0452"/>
    <x v="1"/>
    <x v="1"/>
    <n v="38.5"/>
    <n v="5.87"/>
    <n v="16.18"/>
    <n v="95.68"/>
    <n v="77.959999999999994"/>
    <n v="5.56"/>
    <s v="None"/>
    <x v="1"/>
    <n v="33.21"/>
    <d v="2024-03-04T00:00:00"/>
    <d v="2024-07-27T00:00:00"/>
    <x v="2"/>
    <n v="145"/>
    <n v="4545.7299999999996"/>
    <s v="SENS0452"/>
    <d v="2024-03-24T00:00:00"/>
    <n v="17.328140000000001"/>
    <n v="77.554570999999996"/>
    <n v="0.47"/>
    <x v="3"/>
    <n v="145"/>
    <s v="Medium"/>
    <s v="Medium Usage"/>
  </r>
  <r>
    <s v="FARM0453"/>
    <x v="0"/>
    <x v="1"/>
    <n v="18.22"/>
    <n v="6.47"/>
    <n v="30.21"/>
    <n v="52.38"/>
    <n v="53.3"/>
    <n v="9.73"/>
    <s v="Drip"/>
    <x v="0"/>
    <n v="14.5"/>
    <d v="2024-01-13T00:00:00"/>
    <d v="2024-05-20T00:00:00"/>
    <x v="0"/>
    <n v="128"/>
    <n v="4080.3"/>
    <s v="SENS0453"/>
    <d v="2024-03-21T00:00:00"/>
    <n v="33.30321"/>
    <n v="79.464635999999999"/>
    <n v="0.5"/>
    <x v="2"/>
    <n v="128"/>
    <s v="Medium"/>
    <s v="Low Usage"/>
  </r>
  <r>
    <s v="FARM0454"/>
    <x v="2"/>
    <x v="2"/>
    <n v="33.869999999999997"/>
    <n v="6.19"/>
    <n v="21.3"/>
    <n v="109.9"/>
    <n v="58.06"/>
    <n v="6.39"/>
    <s v="Drip"/>
    <x v="1"/>
    <n v="44.29"/>
    <d v="2024-01-01T00:00:00"/>
    <d v="2024-04-29T00:00:00"/>
    <x v="3"/>
    <n v="119"/>
    <n v="5482.17"/>
    <s v="SENS0454"/>
    <d v="2024-02-21T00:00:00"/>
    <n v="28.130504999999999"/>
    <n v="87.759411"/>
    <n v="0.38"/>
    <x v="1"/>
    <n v="119"/>
    <s v="High"/>
    <s v="High Usage"/>
  </r>
  <r>
    <s v="FARM0455"/>
    <x v="3"/>
    <x v="2"/>
    <n v="43.29"/>
    <n v="7"/>
    <n v="19.97"/>
    <n v="162.97999999999999"/>
    <n v="74.31"/>
    <n v="9.2200000000000006"/>
    <s v="None"/>
    <x v="2"/>
    <n v="13.46"/>
    <d v="2024-03-27T00:00:00"/>
    <d v="2024-07-15T00:00:00"/>
    <x v="2"/>
    <n v="110"/>
    <n v="2066.52"/>
    <s v="SENS0455"/>
    <d v="2024-05-12T00:00:00"/>
    <n v="31.835861999999999"/>
    <n v="89.391952000000003"/>
    <n v="0.74"/>
    <x v="2"/>
    <n v="110"/>
    <s v="Low"/>
    <s v="Low Usage"/>
  </r>
  <r>
    <s v="FARM0456"/>
    <x v="4"/>
    <x v="1"/>
    <n v="26.96"/>
    <n v="6.98"/>
    <n v="30.88"/>
    <n v="137.08000000000001"/>
    <n v="86.95"/>
    <n v="9.65"/>
    <s v="None"/>
    <x v="2"/>
    <n v="43.57"/>
    <d v="2024-01-24T00:00:00"/>
    <d v="2024-05-17T00:00:00"/>
    <x v="0"/>
    <n v="114"/>
    <n v="3175.45"/>
    <s v="SENS0456"/>
    <d v="2024-02-17T00:00:00"/>
    <n v="27.798549000000001"/>
    <n v="87.397174000000007"/>
    <n v="0.83"/>
    <x v="1"/>
    <n v="114"/>
    <s v="Medium"/>
    <s v="High Usage"/>
  </r>
  <r>
    <s v="FARM0457"/>
    <x v="4"/>
    <x v="3"/>
    <n v="37.89"/>
    <n v="6.1"/>
    <n v="28.46"/>
    <n v="187.19"/>
    <n v="83.74"/>
    <n v="5.01"/>
    <s v="None"/>
    <x v="0"/>
    <n v="26.7"/>
    <d v="2024-03-08T00:00:00"/>
    <d v="2024-06-21T00:00:00"/>
    <x v="1"/>
    <n v="105"/>
    <n v="2846.56"/>
    <s v="SENS0457"/>
    <d v="2024-06-12T00:00:00"/>
    <n v="33.605246999999999"/>
    <n v="83.998180000000005"/>
    <n v="0.36"/>
    <x v="1"/>
    <n v="105"/>
    <s v="Low"/>
    <s v="Medium Usage"/>
  </r>
  <r>
    <s v="FARM0458"/>
    <x v="4"/>
    <x v="2"/>
    <n v="41.59"/>
    <n v="7.03"/>
    <n v="19.41"/>
    <n v="114.41"/>
    <n v="63.82"/>
    <n v="9.39"/>
    <s v="Drip"/>
    <x v="2"/>
    <n v="11.11"/>
    <d v="2024-03-21T00:00:00"/>
    <d v="2024-08-04T00:00:00"/>
    <x v="4"/>
    <n v="136"/>
    <n v="3967.84"/>
    <s v="SENS0458"/>
    <d v="2024-06-14T00:00:00"/>
    <n v="31.798514999999998"/>
    <n v="88.635598999999999"/>
    <n v="0.76"/>
    <x v="1"/>
    <n v="136"/>
    <s v="Medium"/>
    <s v="Low Usage"/>
  </r>
  <r>
    <s v="FARM0459"/>
    <x v="2"/>
    <x v="3"/>
    <n v="41.86"/>
    <n v="6.99"/>
    <n v="29.5"/>
    <n v="213.48"/>
    <n v="79.25"/>
    <n v="9.8000000000000007"/>
    <s v="None"/>
    <x v="0"/>
    <n v="15.06"/>
    <d v="2024-01-10T00:00:00"/>
    <d v="2024-04-14T00:00:00"/>
    <x v="3"/>
    <n v="95"/>
    <n v="2445.5300000000002"/>
    <s v="SENS0459"/>
    <d v="2024-02-22T00:00:00"/>
    <n v="28.514530000000001"/>
    <n v="88.744213000000002"/>
    <n v="0.75"/>
    <x v="1"/>
    <n v="95"/>
    <s v="Low"/>
    <s v="Medium Usage"/>
  </r>
  <r>
    <s v="FARM0460"/>
    <x v="3"/>
    <x v="2"/>
    <n v="14.46"/>
    <n v="6.13"/>
    <n v="22.6"/>
    <n v="234.23"/>
    <n v="55.54"/>
    <n v="7.54"/>
    <s v="Sprinkler"/>
    <x v="1"/>
    <n v="49.09"/>
    <d v="2024-02-25T00:00:00"/>
    <d v="2024-06-17T00:00:00"/>
    <x v="1"/>
    <n v="113"/>
    <n v="5190.07"/>
    <s v="SENS0460"/>
    <d v="2024-06-05T00:00:00"/>
    <n v="13.157684"/>
    <n v="83.274856"/>
    <n v="0.65"/>
    <x v="1"/>
    <n v="113"/>
    <s v="High"/>
    <s v="High Usage"/>
  </r>
  <r>
    <s v="FARM0461"/>
    <x v="1"/>
    <x v="0"/>
    <n v="28.84"/>
    <n v="6.42"/>
    <n v="17.89"/>
    <n v="285.72000000000003"/>
    <n v="81.86"/>
    <n v="7"/>
    <s v="None"/>
    <x v="0"/>
    <n v="32.07"/>
    <d v="2024-01-24T00:00:00"/>
    <d v="2024-06-04T00:00:00"/>
    <x v="1"/>
    <n v="132"/>
    <n v="5396.51"/>
    <s v="SENS0461"/>
    <d v="2024-02-01T00:00:00"/>
    <n v="24.972007999999999"/>
    <n v="76.177829000000003"/>
    <n v="0.89"/>
    <x v="1"/>
    <n v="132"/>
    <s v="High"/>
    <s v="Medium Usage"/>
  </r>
  <r>
    <s v="FARM0462"/>
    <x v="2"/>
    <x v="1"/>
    <n v="26.74"/>
    <n v="7.16"/>
    <n v="24.9"/>
    <n v="226.04"/>
    <n v="58.84"/>
    <n v="9.89"/>
    <s v="Manual"/>
    <x v="0"/>
    <n v="42.25"/>
    <d v="2024-01-28T00:00:00"/>
    <d v="2024-06-12T00:00:00"/>
    <x v="1"/>
    <n v="136"/>
    <n v="5737.73"/>
    <s v="SENS0462"/>
    <d v="2024-03-25T00:00:00"/>
    <n v="27.510185"/>
    <n v="71.051326000000003"/>
    <n v="0.82"/>
    <x v="0"/>
    <n v="136"/>
    <s v="High"/>
    <s v="High Usage"/>
  </r>
  <r>
    <s v="FARM0463"/>
    <x v="1"/>
    <x v="3"/>
    <n v="20.47"/>
    <n v="7.13"/>
    <n v="33.25"/>
    <n v="89.8"/>
    <n v="41.08"/>
    <n v="6.35"/>
    <s v="None"/>
    <x v="2"/>
    <n v="26.3"/>
    <d v="2024-02-25T00:00:00"/>
    <d v="2024-06-19T00:00:00"/>
    <x v="1"/>
    <n v="115"/>
    <n v="3564.25"/>
    <s v="SENS0463"/>
    <d v="2024-05-02T00:00:00"/>
    <n v="28.168865"/>
    <n v="75.647282000000004"/>
    <n v="0.85"/>
    <x v="2"/>
    <n v="115"/>
    <s v="Medium"/>
    <s v="Medium Usage"/>
  </r>
  <r>
    <s v="FARM0464"/>
    <x v="0"/>
    <x v="4"/>
    <n v="21.32"/>
    <n v="7.08"/>
    <n v="32.32"/>
    <n v="63.53"/>
    <n v="86.73"/>
    <n v="5.82"/>
    <s v="Sprinkler"/>
    <x v="2"/>
    <n v="11.19"/>
    <d v="2024-03-16T00:00:00"/>
    <d v="2024-07-02T00:00:00"/>
    <x v="2"/>
    <n v="108"/>
    <n v="5588.87"/>
    <s v="SENS0464"/>
    <d v="2024-04-11T00:00:00"/>
    <n v="15.453412"/>
    <n v="84.967650000000006"/>
    <n v="0.74"/>
    <x v="1"/>
    <n v="108"/>
    <s v="High"/>
    <s v="Low Usage"/>
  </r>
  <r>
    <s v="FARM0465"/>
    <x v="2"/>
    <x v="1"/>
    <n v="13.57"/>
    <n v="7.07"/>
    <n v="32.17"/>
    <n v="144.13999999999999"/>
    <n v="89.14"/>
    <n v="8.08"/>
    <s v="Sprinkler"/>
    <x v="0"/>
    <n v="9.32"/>
    <d v="2024-02-06T00:00:00"/>
    <d v="2024-07-05T00:00:00"/>
    <x v="2"/>
    <n v="150"/>
    <n v="2209.89"/>
    <s v="SENS0465"/>
    <d v="2024-06-16T00:00:00"/>
    <n v="26.252445000000002"/>
    <n v="81.867847999999995"/>
    <n v="0.88"/>
    <x v="2"/>
    <n v="150"/>
    <s v="Low"/>
    <s v="Low Usage"/>
  </r>
  <r>
    <s v="FARM0466"/>
    <x v="4"/>
    <x v="0"/>
    <n v="14.16"/>
    <n v="6.29"/>
    <n v="21.05"/>
    <n v="199.04"/>
    <n v="48.62"/>
    <n v="8.4700000000000006"/>
    <s v="Drip"/>
    <x v="1"/>
    <n v="43.92"/>
    <d v="2024-03-13T00:00:00"/>
    <d v="2024-06-28T00:00:00"/>
    <x v="1"/>
    <n v="107"/>
    <n v="4529.33"/>
    <s v="SENS0466"/>
    <d v="2024-05-08T00:00:00"/>
    <n v="19.183076"/>
    <n v="72.400008"/>
    <n v="0.35"/>
    <x v="2"/>
    <n v="107"/>
    <s v="Medium"/>
    <s v="High Usage"/>
  </r>
  <r>
    <s v="FARM0467"/>
    <x v="3"/>
    <x v="4"/>
    <n v="10.81"/>
    <n v="6.65"/>
    <n v="26.45"/>
    <n v="118.43"/>
    <n v="77.27"/>
    <n v="8.77"/>
    <s v="Sprinkler"/>
    <x v="1"/>
    <n v="26.79"/>
    <d v="2024-03-23T00:00:00"/>
    <d v="2024-07-18T00:00:00"/>
    <x v="2"/>
    <n v="117"/>
    <n v="3193.45"/>
    <s v="SENS0467"/>
    <d v="2024-04-08T00:00:00"/>
    <n v="12.486031000000001"/>
    <n v="71.269965999999997"/>
    <n v="0.85"/>
    <x v="0"/>
    <n v="117"/>
    <s v="Medium"/>
    <s v="Medium Usage"/>
  </r>
  <r>
    <s v="FARM0468"/>
    <x v="1"/>
    <x v="0"/>
    <n v="23.78"/>
    <n v="7.13"/>
    <n v="30.67"/>
    <n v="182.52"/>
    <n v="43.2"/>
    <n v="9.02"/>
    <s v="Drip"/>
    <x v="0"/>
    <n v="48.46"/>
    <d v="2024-01-06T00:00:00"/>
    <d v="2024-05-30T00:00:00"/>
    <x v="0"/>
    <n v="145"/>
    <n v="4396.41"/>
    <s v="SENS0468"/>
    <d v="2024-02-21T00:00:00"/>
    <n v="10.133100000000001"/>
    <n v="78.944658000000004"/>
    <n v="0.49"/>
    <x v="1"/>
    <n v="145"/>
    <s v="Medium"/>
    <s v="High Usage"/>
  </r>
  <r>
    <s v="FARM0469"/>
    <x v="4"/>
    <x v="1"/>
    <n v="17.22"/>
    <n v="5.82"/>
    <n v="26.25"/>
    <n v="262.86"/>
    <n v="41.75"/>
    <n v="9.8800000000000008"/>
    <s v="Manual"/>
    <x v="1"/>
    <n v="48.48"/>
    <d v="2024-01-14T00:00:00"/>
    <d v="2024-06-12T00:00:00"/>
    <x v="1"/>
    <n v="150"/>
    <n v="4632.6400000000003"/>
    <s v="SENS0469"/>
    <d v="2024-03-17T00:00:00"/>
    <n v="17.514999"/>
    <n v="88.924291999999994"/>
    <n v="0.61"/>
    <x v="3"/>
    <n v="150"/>
    <s v="Medium"/>
    <s v="High Usage"/>
  </r>
  <r>
    <s v="FARM0470"/>
    <x v="3"/>
    <x v="3"/>
    <n v="14.89"/>
    <n v="6.48"/>
    <n v="21.26"/>
    <n v="277.7"/>
    <n v="89.84"/>
    <n v="7.64"/>
    <s v="Sprinkler"/>
    <x v="2"/>
    <n v="9.4600000000000009"/>
    <d v="2024-01-08T00:00:00"/>
    <d v="2024-04-09T00:00:00"/>
    <x v="3"/>
    <n v="92"/>
    <n v="2752.29"/>
    <s v="SENS0470"/>
    <d v="2024-02-15T00:00:00"/>
    <n v="31.402128999999999"/>
    <n v="74.304259000000002"/>
    <n v="0.38"/>
    <x v="0"/>
    <n v="92"/>
    <s v="Low"/>
    <s v="Low Usage"/>
  </r>
  <r>
    <s v="FARM0471"/>
    <x v="3"/>
    <x v="2"/>
    <n v="19.71"/>
    <n v="6.96"/>
    <n v="23.44"/>
    <n v="187.46"/>
    <n v="53.03"/>
    <n v="7.9"/>
    <s v="Sprinkler"/>
    <x v="1"/>
    <n v="25.52"/>
    <d v="2024-02-22T00:00:00"/>
    <d v="2024-06-18T00:00:00"/>
    <x v="1"/>
    <n v="117"/>
    <n v="5760.8"/>
    <s v="SENS0471"/>
    <d v="2024-03-11T00:00:00"/>
    <n v="23.397608000000002"/>
    <n v="71.411161000000007"/>
    <n v="0.74"/>
    <x v="0"/>
    <n v="117"/>
    <s v="High"/>
    <s v="Medium Usage"/>
  </r>
  <r>
    <s v="FARM0472"/>
    <x v="2"/>
    <x v="1"/>
    <n v="33.01"/>
    <n v="7.14"/>
    <n v="27.1"/>
    <n v="154.91999999999999"/>
    <n v="47.67"/>
    <n v="9.9499999999999993"/>
    <s v="None"/>
    <x v="1"/>
    <n v="6.17"/>
    <d v="2024-03-08T00:00:00"/>
    <d v="2024-06-10T00:00:00"/>
    <x v="1"/>
    <n v="94"/>
    <n v="3080.5"/>
    <s v="SENS0472"/>
    <d v="2024-05-15T00:00:00"/>
    <n v="12.749753"/>
    <n v="80.967376000000002"/>
    <n v="0.34"/>
    <x v="1"/>
    <n v="94"/>
    <s v="Medium"/>
    <s v="Low Usage"/>
  </r>
  <r>
    <s v="FARM0473"/>
    <x v="2"/>
    <x v="2"/>
    <n v="37.229999999999997"/>
    <n v="5.79"/>
    <n v="30.96"/>
    <n v="118.41"/>
    <n v="44.9"/>
    <n v="9.8800000000000008"/>
    <s v="Sprinkler"/>
    <x v="1"/>
    <n v="47.83"/>
    <d v="2024-01-06T00:00:00"/>
    <d v="2024-05-08T00:00:00"/>
    <x v="0"/>
    <n v="123"/>
    <n v="4913.3100000000004"/>
    <s v="SENS0473"/>
    <d v="2024-02-14T00:00:00"/>
    <n v="24.720676000000001"/>
    <n v="86.135963000000004"/>
    <n v="0.36"/>
    <x v="3"/>
    <n v="123"/>
    <s v="Medium"/>
    <s v="High Usage"/>
  </r>
  <r>
    <s v="FARM0474"/>
    <x v="3"/>
    <x v="2"/>
    <n v="29.3"/>
    <n v="6.71"/>
    <n v="32.93"/>
    <n v="92.69"/>
    <n v="87.33"/>
    <n v="6.34"/>
    <s v="Manual"/>
    <x v="2"/>
    <n v="35.5"/>
    <d v="2024-03-18T00:00:00"/>
    <d v="2024-07-24T00:00:00"/>
    <x v="2"/>
    <n v="128"/>
    <n v="5528.08"/>
    <s v="SENS0474"/>
    <d v="2024-06-29T00:00:00"/>
    <n v="21.921547"/>
    <n v="72.551444000000004"/>
    <n v="0.31"/>
    <x v="0"/>
    <n v="128"/>
    <s v="High"/>
    <s v="Medium Usage"/>
  </r>
  <r>
    <s v="FARM0475"/>
    <x v="4"/>
    <x v="4"/>
    <n v="23.26"/>
    <n v="6.97"/>
    <n v="16.059999999999999"/>
    <n v="231.35"/>
    <n v="88.72"/>
    <n v="8.25"/>
    <s v="Sprinkler"/>
    <x v="2"/>
    <n v="32.39"/>
    <d v="2024-03-15T00:00:00"/>
    <d v="2024-06-24T00:00:00"/>
    <x v="1"/>
    <n v="101"/>
    <n v="3755.84"/>
    <s v="SENS0475"/>
    <d v="2024-04-29T00:00:00"/>
    <n v="29.961722000000002"/>
    <n v="80.044584999999998"/>
    <n v="0.47"/>
    <x v="2"/>
    <n v="101"/>
    <s v="Medium"/>
    <s v="Medium Usage"/>
  </r>
  <r>
    <s v="FARM0476"/>
    <x v="3"/>
    <x v="4"/>
    <n v="20.68"/>
    <n v="7.22"/>
    <n v="33.950000000000003"/>
    <n v="151.63"/>
    <n v="55.64"/>
    <n v="4.54"/>
    <s v="Drip"/>
    <x v="0"/>
    <n v="37.85"/>
    <d v="2024-01-06T00:00:00"/>
    <d v="2024-05-11T00:00:00"/>
    <x v="0"/>
    <n v="126"/>
    <n v="2229.65"/>
    <s v="SENS0476"/>
    <d v="2024-04-10T00:00:00"/>
    <n v="17.146272"/>
    <n v="88.59178"/>
    <n v="0.79"/>
    <x v="1"/>
    <n v="126"/>
    <s v="Low"/>
    <s v="Medium Usage"/>
  </r>
  <r>
    <s v="FARM0477"/>
    <x v="1"/>
    <x v="1"/>
    <n v="42.64"/>
    <n v="5.77"/>
    <n v="24.96"/>
    <n v="221.28"/>
    <n v="73.84"/>
    <n v="7.19"/>
    <s v="Drip"/>
    <x v="1"/>
    <n v="5.63"/>
    <d v="2024-01-27T00:00:00"/>
    <d v="2024-06-12T00:00:00"/>
    <x v="1"/>
    <n v="137"/>
    <n v="2029.16"/>
    <s v="SENS0477"/>
    <d v="2024-05-14T00:00:00"/>
    <n v="27.564793000000002"/>
    <n v="84.993358999999998"/>
    <n v="0.45"/>
    <x v="1"/>
    <n v="137"/>
    <s v="Low"/>
    <s v="Low Usage"/>
  </r>
  <r>
    <s v="FARM0478"/>
    <x v="3"/>
    <x v="3"/>
    <n v="43.76"/>
    <n v="6.85"/>
    <n v="32.64"/>
    <n v="180.88"/>
    <n v="51.25"/>
    <n v="4.45"/>
    <s v="Sprinkler"/>
    <x v="2"/>
    <n v="20.9"/>
    <d v="2024-01-14T00:00:00"/>
    <d v="2024-05-14T00:00:00"/>
    <x v="0"/>
    <n v="121"/>
    <n v="3516.38"/>
    <s v="SENS0478"/>
    <d v="2024-03-01T00:00:00"/>
    <n v="34.243209999999998"/>
    <n v="76.759172000000007"/>
    <n v="0.71"/>
    <x v="1"/>
    <n v="121"/>
    <s v="Medium"/>
    <s v="Medium Usage"/>
  </r>
  <r>
    <s v="FARM0479"/>
    <x v="2"/>
    <x v="2"/>
    <n v="26.91"/>
    <n v="6.03"/>
    <n v="15.04"/>
    <n v="207.79"/>
    <n v="59.68"/>
    <n v="9.5399999999999991"/>
    <s v="Drip"/>
    <x v="1"/>
    <n v="45.16"/>
    <d v="2024-02-02T00:00:00"/>
    <d v="2024-05-24T00:00:00"/>
    <x v="0"/>
    <n v="112"/>
    <n v="2023.56"/>
    <s v="SENS0479"/>
    <d v="2024-03-31T00:00:00"/>
    <n v="18.213795000000001"/>
    <n v="77.077855"/>
    <n v="0.3"/>
    <x v="0"/>
    <n v="112"/>
    <s v="Low"/>
    <s v="High Usage"/>
  </r>
  <r>
    <s v="FARM0480"/>
    <x v="1"/>
    <x v="2"/>
    <n v="10.31"/>
    <n v="6.36"/>
    <n v="18.95"/>
    <n v="182.27"/>
    <n v="84.93"/>
    <n v="6.46"/>
    <s v="None"/>
    <x v="0"/>
    <n v="12"/>
    <d v="2024-03-09T00:00:00"/>
    <d v="2024-06-21T00:00:00"/>
    <x v="1"/>
    <n v="104"/>
    <n v="3882.79"/>
    <s v="SENS0480"/>
    <d v="2024-04-25T00:00:00"/>
    <n v="17.482123999999999"/>
    <n v="78.566828999999998"/>
    <n v="0.41"/>
    <x v="3"/>
    <n v="104"/>
    <s v="Medium"/>
    <s v="Low Usage"/>
  </r>
  <r>
    <s v="FARM0481"/>
    <x v="0"/>
    <x v="3"/>
    <n v="32.97"/>
    <n v="6.38"/>
    <n v="17.8"/>
    <n v="236.77"/>
    <n v="40.29"/>
    <n v="9.3000000000000007"/>
    <s v="Sprinkler"/>
    <x v="0"/>
    <n v="13.53"/>
    <d v="2024-01-05T00:00:00"/>
    <d v="2024-04-29T00:00:00"/>
    <x v="3"/>
    <n v="115"/>
    <n v="3684.22"/>
    <s v="SENS0481"/>
    <d v="2024-02-16T00:00:00"/>
    <n v="32.524945000000002"/>
    <n v="73.206249999999997"/>
    <n v="0.42"/>
    <x v="2"/>
    <n v="115"/>
    <s v="Medium"/>
    <s v="Low Usage"/>
  </r>
  <r>
    <s v="FARM0482"/>
    <x v="2"/>
    <x v="0"/>
    <n v="24.74"/>
    <n v="6.6"/>
    <n v="31"/>
    <n v="228.58"/>
    <n v="56.24"/>
    <n v="8.59"/>
    <s v="None"/>
    <x v="2"/>
    <n v="37.67"/>
    <d v="2024-03-27T00:00:00"/>
    <d v="2024-08-16T00:00:00"/>
    <x v="4"/>
    <n v="142"/>
    <n v="3555.39"/>
    <s v="SENS0482"/>
    <d v="2024-04-24T00:00:00"/>
    <n v="33.941965000000003"/>
    <n v="85.854258999999999"/>
    <n v="0.38"/>
    <x v="3"/>
    <n v="142"/>
    <s v="Medium"/>
    <s v="Medium Usage"/>
  </r>
  <r>
    <s v="FARM0483"/>
    <x v="3"/>
    <x v="0"/>
    <n v="36.86"/>
    <n v="5.97"/>
    <n v="28.57"/>
    <n v="135.54"/>
    <n v="88.82"/>
    <n v="8.42"/>
    <s v="None"/>
    <x v="1"/>
    <n v="18.03"/>
    <d v="2024-02-03T00:00:00"/>
    <d v="2024-06-20T00:00:00"/>
    <x v="1"/>
    <n v="138"/>
    <n v="3715.81"/>
    <s v="SENS0483"/>
    <d v="2024-03-13T00:00:00"/>
    <n v="28.231214000000001"/>
    <n v="73.737205000000003"/>
    <n v="0.47"/>
    <x v="1"/>
    <n v="138"/>
    <s v="Medium"/>
    <s v="Medium Usage"/>
  </r>
  <r>
    <s v="FARM0484"/>
    <x v="2"/>
    <x v="4"/>
    <n v="33.32"/>
    <n v="6.36"/>
    <n v="24.48"/>
    <n v="245.68"/>
    <n v="45.15"/>
    <n v="8.3800000000000008"/>
    <s v="Sprinkler"/>
    <x v="0"/>
    <n v="49.66"/>
    <d v="2024-03-21T00:00:00"/>
    <d v="2024-07-29T00:00:00"/>
    <x v="2"/>
    <n v="130"/>
    <n v="2594.9"/>
    <s v="SENS0484"/>
    <d v="2024-04-20T00:00:00"/>
    <n v="13.307395"/>
    <n v="70.767329000000004"/>
    <n v="0.89"/>
    <x v="0"/>
    <n v="130"/>
    <s v="Low"/>
    <s v="High Usage"/>
  </r>
  <r>
    <s v="FARM0485"/>
    <x v="1"/>
    <x v="0"/>
    <n v="31.58"/>
    <n v="5.68"/>
    <n v="16.02"/>
    <n v="151.82"/>
    <n v="55.32"/>
    <n v="7.8"/>
    <s v="Sprinkler"/>
    <x v="0"/>
    <n v="20.13"/>
    <d v="2024-02-02T00:00:00"/>
    <d v="2024-06-03T00:00:00"/>
    <x v="1"/>
    <n v="122"/>
    <n v="3708.29"/>
    <s v="SENS0485"/>
    <d v="2024-02-08T00:00:00"/>
    <n v="17.607250000000001"/>
    <n v="75.384922000000003"/>
    <n v="0.47"/>
    <x v="3"/>
    <n v="122"/>
    <s v="Medium"/>
    <s v="Medium Usage"/>
  </r>
  <r>
    <s v="FARM0486"/>
    <x v="1"/>
    <x v="4"/>
    <n v="21.19"/>
    <n v="5.6"/>
    <n v="15.82"/>
    <n v="63.03"/>
    <n v="77.239999999999995"/>
    <n v="5.27"/>
    <s v="None"/>
    <x v="1"/>
    <n v="45.88"/>
    <d v="2024-01-14T00:00:00"/>
    <d v="2024-04-24T00:00:00"/>
    <x v="3"/>
    <n v="101"/>
    <n v="3009.05"/>
    <s v="SENS0486"/>
    <d v="2024-03-16T00:00:00"/>
    <n v="19.089531000000001"/>
    <n v="76.087134000000006"/>
    <n v="0.36"/>
    <x v="1"/>
    <n v="101"/>
    <s v="Medium"/>
    <s v="High Usage"/>
  </r>
  <r>
    <s v="FARM0487"/>
    <x v="3"/>
    <x v="4"/>
    <n v="21.59"/>
    <n v="6.98"/>
    <n v="22.23"/>
    <n v="244.7"/>
    <n v="66.44"/>
    <n v="6.23"/>
    <s v="Manual"/>
    <x v="0"/>
    <n v="31.29"/>
    <d v="2024-01-04T00:00:00"/>
    <d v="2024-04-11T00:00:00"/>
    <x v="3"/>
    <n v="98"/>
    <n v="4518.2299999999996"/>
    <s v="SENS0487"/>
    <d v="2024-03-21T00:00:00"/>
    <n v="13.008858999999999"/>
    <n v="81.731228999999999"/>
    <n v="0.85"/>
    <x v="0"/>
    <n v="98"/>
    <s v="Medium"/>
    <s v="Medium Usage"/>
  </r>
  <r>
    <s v="FARM0488"/>
    <x v="4"/>
    <x v="3"/>
    <n v="42.39"/>
    <n v="5.65"/>
    <n v="25.93"/>
    <n v="135.72"/>
    <n v="76.27"/>
    <n v="9.94"/>
    <s v="Sprinkler"/>
    <x v="2"/>
    <n v="37.43"/>
    <d v="2024-01-05T00:00:00"/>
    <d v="2024-04-16T00:00:00"/>
    <x v="3"/>
    <n v="102"/>
    <n v="3672.85"/>
    <s v="SENS0488"/>
    <d v="2024-04-05T00:00:00"/>
    <n v="16.313137999999999"/>
    <n v="87.541506999999996"/>
    <n v="0.81"/>
    <x v="3"/>
    <n v="102"/>
    <s v="Medium"/>
    <s v="Medium Usage"/>
  </r>
  <r>
    <s v="FARM0489"/>
    <x v="2"/>
    <x v="3"/>
    <n v="32.049999999999997"/>
    <n v="5.73"/>
    <n v="23.72"/>
    <n v="170.71"/>
    <n v="66.19"/>
    <n v="9.7100000000000009"/>
    <s v="Drip"/>
    <x v="0"/>
    <n v="31.96"/>
    <d v="2024-03-05T00:00:00"/>
    <d v="2024-06-21T00:00:00"/>
    <x v="1"/>
    <n v="108"/>
    <n v="2181.7800000000002"/>
    <s v="SENS0489"/>
    <d v="2024-05-16T00:00:00"/>
    <n v="11.519835"/>
    <n v="89.449479999999994"/>
    <n v="0.41"/>
    <x v="2"/>
    <n v="108"/>
    <s v="Low"/>
    <s v="Medium Usage"/>
  </r>
  <r>
    <s v="FARM0490"/>
    <x v="1"/>
    <x v="1"/>
    <n v="40.46"/>
    <n v="7.44"/>
    <n v="18.309999999999999"/>
    <n v="237.68"/>
    <n v="59.21"/>
    <n v="8.68"/>
    <s v="None"/>
    <x v="2"/>
    <n v="17.22"/>
    <d v="2024-01-01T00:00:00"/>
    <d v="2024-04-10T00:00:00"/>
    <x v="3"/>
    <n v="100"/>
    <n v="4287.59"/>
    <s v="SENS0490"/>
    <d v="2024-03-16T00:00:00"/>
    <n v="27.418043999999998"/>
    <n v="87.583100000000002"/>
    <n v="0.77"/>
    <x v="2"/>
    <n v="100"/>
    <s v="Medium"/>
    <s v="Medium Usage"/>
  </r>
  <r>
    <s v="FARM0491"/>
    <x v="3"/>
    <x v="1"/>
    <n v="19.059999999999999"/>
    <n v="7.2"/>
    <n v="20.93"/>
    <n v="117.13"/>
    <n v="45.96"/>
    <n v="5.34"/>
    <s v="Sprinkler"/>
    <x v="1"/>
    <n v="6.76"/>
    <d v="2024-01-09T00:00:00"/>
    <d v="2024-06-06T00:00:00"/>
    <x v="1"/>
    <n v="149"/>
    <n v="2531.89"/>
    <s v="SENS0491"/>
    <d v="2024-01-22T00:00:00"/>
    <n v="26.060327999999998"/>
    <n v="74.980160999999995"/>
    <n v="0.79"/>
    <x v="1"/>
    <n v="149"/>
    <s v="Low"/>
    <s v="Low Usage"/>
  </r>
  <r>
    <s v="FARM0492"/>
    <x v="0"/>
    <x v="2"/>
    <n v="32.14"/>
    <n v="7.44"/>
    <n v="21.49"/>
    <n v="286.61"/>
    <n v="84.2"/>
    <n v="5.58"/>
    <s v="Sprinkler"/>
    <x v="1"/>
    <n v="45.43"/>
    <d v="2024-02-11T00:00:00"/>
    <d v="2024-05-14T00:00:00"/>
    <x v="0"/>
    <n v="93"/>
    <n v="4503.82"/>
    <s v="SENS0492"/>
    <d v="2024-02-12T00:00:00"/>
    <n v="30.598295"/>
    <n v="74.385592000000003"/>
    <n v="0.88"/>
    <x v="0"/>
    <n v="93"/>
    <s v="Medium"/>
    <s v="High Usage"/>
  </r>
  <r>
    <s v="FARM0493"/>
    <x v="2"/>
    <x v="0"/>
    <n v="28.81"/>
    <n v="7.46"/>
    <n v="30.56"/>
    <n v="245.13"/>
    <n v="45.32"/>
    <n v="8.4700000000000006"/>
    <s v="None"/>
    <x v="2"/>
    <n v="16.579999999999998"/>
    <d v="2024-03-21T00:00:00"/>
    <d v="2024-07-27T00:00:00"/>
    <x v="2"/>
    <n v="128"/>
    <n v="4203.51"/>
    <s v="SENS0493"/>
    <d v="2024-07-12T00:00:00"/>
    <n v="15.515976"/>
    <n v="75.375870000000006"/>
    <n v="0.65"/>
    <x v="2"/>
    <n v="128"/>
    <s v="Medium"/>
    <s v="Medium Usage"/>
  </r>
  <r>
    <s v="FARM0494"/>
    <x v="4"/>
    <x v="3"/>
    <n v="18.11"/>
    <n v="6.95"/>
    <n v="22.37"/>
    <n v="275.54000000000002"/>
    <n v="44.68"/>
    <n v="5.09"/>
    <s v="Sprinkler"/>
    <x v="0"/>
    <n v="13.5"/>
    <d v="2024-02-24T00:00:00"/>
    <d v="2024-06-04T00:00:00"/>
    <x v="1"/>
    <n v="101"/>
    <n v="4590.26"/>
    <s v="SENS0494"/>
    <d v="2024-02-26T00:00:00"/>
    <n v="17.754006"/>
    <n v="87.705061000000001"/>
    <n v="0.79"/>
    <x v="0"/>
    <n v="101"/>
    <s v="Medium"/>
    <s v="Low Usage"/>
  </r>
  <r>
    <s v="FARM0495"/>
    <x v="0"/>
    <x v="4"/>
    <n v="12.52"/>
    <n v="5.99"/>
    <n v="33.18"/>
    <n v="292.60000000000002"/>
    <n v="45.01"/>
    <n v="7.16"/>
    <s v="Drip"/>
    <x v="2"/>
    <n v="9.49"/>
    <d v="2024-02-01T00:00:00"/>
    <d v="2024-05-08T00:00:00"/>
    <x v="0"/>
    <n v="97"/>
    <n v="5306.25"/>
    <s v="SENS0495"/>
    <d v="2024-05-08T00:00:00"/>
    <n v="30.762927999999999"/>
    <n v="88.693555000000003"/>
    <n v="0.38"/>
    <x v="1"/>
    <n v="97"/>
    <s v="High"/>
    <s v="Low Usage"/>
  </r>
  <r>
    <s v="FARM0496"/>
    <x v="2"/>
    <x v="4"/>
    <n v="42.85"/>
    <n v="6.7"/>
    <n v="30.85"/>
    <n v="52.35"/>
    <n v="79.58"/>
    <n v="7.25"/>
    <s v="Manual"/>
    <x v="2"/>
    <n v="8.82"/>
    <d v="2024-01-16T00:00:00"/>
    <d v="2024-06-02T00:00:00"/>
    <x v="1"/>
    <n v="138"/>
    <n v="4251.3999999999996"/>
    <s v="SENS0496"/>
    <d v="2024-05-08T00:00:00"/>
    <n v="30.386623"/>
    <n v="76.1477"/>
    <n v="0.59"/>
    <x v="0"/>
    <n v="138"/>
    <s v="Medium"/>
    <s v="Low Usage"/>
  </r>
  <r>
    <s v="FARM0497"/>
    <x v="0"/>
    <x v="1"/>
    <n v="34.22"/>
    <n v="6.75"/>
    <n v="17.46"/>
    <n v="256.23"/>
    <n v="45.14"/>
    <n v="5.78"/>
    <s v="None"/>
    <x v="0"/>
    <n v="5.05"/>
    <d v="2024-01-01T00:00:00"/>
    <d v="2024-04-14T00:00:00"/>
    <x v="3"/>
    <n v="104"/>
    <n v="3708.54"/>
    <s v="SENS0497"/>
    <d v="2024-01-19T00:00:00"/>
    <n v="18.832747999999999"/>
    <n v="75.736924000000002"/>
    <n v="0.85"/>
    <x v="2"/>
    <n v="104"/>
    <s v="Medium"/>
    <s v="Low Usage"/>
  </r>
  <r>
    <s v="FARM0498"/>
    <x v="0"/>
    <x v="3"/>
    <n v="15.93"/>
    <n v="5.72"/>
    <n v="17.03"/>
    <n v="288.95999999999998"/>
    <n v="57.87"/>
    <n v="7.69"/>
    <s v="Drip"/>
    <x v="1"/>
    <n v="46.55"/>
    <d v="2024-01-02T00:00:00"/>
    <d v="2024-05-09T00:00:00"/>
    <x v="0"/>
    <n v="128"/>
    <n v="2604.41"/>
    <s v="SENS0498"/>
    <d v="2024-04-20T00:00:00"/>
    <n v="23.262015999999999"/>
    <n v="81.992230000000006"/>
    <n v="0.71"/>
    <x v="0"/>
    <n v="128"/>
    <s v="Low"/>
    <s v="High Usage"/>
  </r>
  <r>
    <s v="FARM0499"/>
    <x v="2"/>
    <x v="1"/>
    <n v="38.61"/>
    <n v="6.2"/>
    <n v="17.079999999999998"/>
    <n v="279.06"/>
    <n v="73.09"/>
    <n v="9.6"/>
    <s v="Drip"/>
    <x v="0"/>
    <n v="43.78"/>
    <d v="2024-01-25T00:00:00"/>
    <d v="2024-06-04T00:00:00"/>
    <x v="1"/>
    <n v="131"/>
    <n v="2586.36"/>
    <s v="SENS0499"/>
    <d v="2024-03-02T00:00:00"/>
    <n v="19.764989"/>
    <n v="84.426868999999996"/>
    <n v="0.77"/>
    <x v="2"/>
    <n v="131"/>
    <s v="Low"/>
    <s v="High Usage"/>
  </r>
  <r>
    <s v="FARM0500"/>
    <x v="0"/>
    <x v="0"/>
    <n v="30.22"/>
    <n v="7.42"/>
    <n v="20.57"/>
    <n v="72.61"/>
    <n v="89.74"/>
    <n v="5.09"/>
    <s v="None"/>
    <x v="1"/>
    <n v="19.37"/>
    <d v="2024-02-16T00:00:00"/>
    <d v="2024-06-29T00:00:00"/>
    <x v="1"/>
    <n v="134"/>
    <n v="5891.4"/>
    <s v="SENS0500"/>
    <d v="2024-05-11T00:00:00"/>
    <n v="13.455532"/>
    <n v="88.880605000000003"/>
    <n v="0.85"/>
    <x v="2"/>
    <n v="134"/>
    <s v="High"/>
    <s v="Medium Usa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5"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70:B75" firstHeaderRow="1" firstDataRow="1" firstDataCol="1"/>
  <pivotFields count="26">
    <pivotField showAll="0"/>
    <pivotField showAll="0">
      <items count="6">
        <item x="2"/>
        <item x="3"/>
        <item x="0"/>
        <item x="4"/>
        <item x="1"/>
        <item t="default"/>
      </items>
    </pivotField>
    <pivotField showAll="0">
      <items count="6">
        <item x="3"/>
        <item x="2"/>
        <item x="4"/>
        <item x="1"/>
        <item x="0"/>
        <item t="default"/>
      </items>
    </pivotField>
    <pivotField showAll="0"/>
    <pivotField showAll="0"/>
    <pivotField showAll="0"/>
    <pivotField showAll="0"/>
    <pivotField showAll="0"/>
    <pivotField showAll="0"/>
    <pivotField showAll="0"/>
    <pivotField showAll="0"/>
    <pivotField showAll="0"/>
    <pivotField numFmtId="14" showAll="0"/>
    <pivotField numFmtId="14" showAll="0"/>
    <pivotField showAll="0">
      <items count="6">
        <item x="3"/>
        <item x="0"/>
        <item x="1"/>
        <item x="2"/>
        <item x="4"/>
        <item t="default"/>
      </items>
    </pivotField>
    <pivotField showAll="0"/>
    <pivotField dataField="1" showAll="0"/>
    <pivotField showAll="0"/>
    <pivotField numFmtId="14" showAll="0"/>
    <pivotField showAll="0"/>
    <pivotField showAll="0"/>
    <pivotField showAll="0"/>
    <pivotField axis="axisRow" showAll="0">
      <items count="5">
        <item x="0"/>
        <item x="3"/>
        <item x="1"/>
        <item x="2"/>
        <item t="default"/>
      </items>
    </pivotField>
    <pivotField showAll="0"/>
    <pivotField showAll="0"/>
    <pivotField showAll="0"/>
  </pivotFields>
  <rowFields count="1">
    <field x="22"/>
  </rowFields>
  <rowItems count="5">
    <i>
      <x/>
    </i>
    <i>
      <x v="1"/>
    </i>
    <i>
      <x v="2"/>
    </i>
    <i>
      <x v="3"/>
    </i>
    <i t="grand">
      <x/>
    </i>
  </rowItems>
  <colItems count="1">
    <i/>
  </colItems>
  <dataFields count="1">
    <dataField name="Average of yield_kg_per_hectare" fld="16" subtotal="average" baseField="22" baseItem="0" numFmtId="1"/>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53:B59" firstHeaderRow="1" firstDataRow="1" firstDataCol="1"/>
  <pivotFields count="26">
    <pivotField showAll="0"/>
    <pivotField axis="axisRow" showAll="0">
      <items count="6">
        <item x="2"/>
        <item x="3"/>
        <item x="0"/>
        <item x="4"/>
        <item x="1"/>
        <item t="default"/>
      </items>
    </pivotField>
    <pivotField showAll="0">
      <items count="6">
        <item x="3"/>
        <item x="2"/>
        <item x="4"/>
        <item x="1"/>
        <item x="0"/>
        <item t="default"/>
      </items>
    </pivotField>
    <pivotField showAll="0"/>
    <pivotField showAll="0"/>
    <pivotField showAll="0"/>
    <pivotField showAll="0"/>
    <pivotField showAll="0"/>
    <pivotField showAll="0"/>
    <pivotField showAll="0"/>
    <pivotField showAll="0"/>
    <pivotField showAll="0"/>
    <pivotField numFmtId="14" showAll="0"/>
    <pivotField numFmtId="14" showAll="0"/>
    <pivotField showAll="0">
      <items count="6">
        <item x="3"/>
        <item x="0"/>
        <item x="1"/>
        <item x="2"/>
        <item x="4"/>
        <item t="default"/>
      </items>
    </pivotField>
    <pivotField showAll="0"/>
    <pivotField dataField="1" showAll="0"/>
    <pivotField showAll="0"/>
    <pivotField numFmtId="14"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Average of yield_kg_per_hectare" fld="16" subtotal="average" baseField="1" baseItem="0" numFmtId="164"/>
  </dataFields>
  <formats count="1">
    <format dxfId="1">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6:B40" firstHeaderRow="1" firstDataRow="1" firstDataCol="1"/>
  <pivotFields count="26">
    <pivotField showAll="0"/>
    <pivotField showAll="0">
      <items count="6">
        <item x="2"/>
        <item x="3"/>
        <item x="0"/>
        <item x="4"/>
        <item x="1"/>
        <item t="default"/>
      </items>
    </pivotField>
    <pivotField showAll="0">
      <items count="6">
        <item x="3"/>
        <item x="2"/>
        <item x="4"/>
        <item x="1"/>
        <item x="0"/>
        <item t="default"/>
      </items>
    </pivotField>
    <pivotField showAll="0"/>
    <pivotField showAll="0"/>
    <pivotField showAll="0"/>
    <pivotField showAll="0"/>
    <pivotField showAll="0"/>
    <pivotField showAll="0"/>
    <pivotField showAll="0"/>
    <pivotField axis="axisRow" showAll="0">
      <items count="4">
        <item x="1"/>
        <item x="2"/>
        <item x="0"/>
        <item t="default"/>
      </items>
    </pivotField>
    <pivotField showAll="0"/>
    <pivotField numFmtId="14" showAll="0"/>
    <pivotField numFmtId="14" showAll="0"/>
    <pivotField showAll="0">
      <items count="6">
        <item x="3"/>
        <item x="0"/>
        <item x="1"/>
        <item x="2"/>
        <item x="4"/>
        <item t="default"/>
      </items>
    </pivotField>
    <pivotField showAll="0"/>
    <pivotField dataField="1" showAll="0"/>
    <pivotField showAll="0"/>
    <pivotField numFmtId="14"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Average of yield_kg_per_hectare" fld="16" subtotal="average" baseField="10" baseItem="0" numFmtId="1"/>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22:B28" firstHeaderRow="1" firstDataRow="1" firstDataCol="1" rowPageCount="1" colPageCount="1"/>
  <pivotFields count="26">
    <pivotField showAll="0"/>
    <pivotField axis="axisPage" showAll="0">
      <items count="6">
        <item x="2"/>
        <item x="3"/>
        <item x="0"/>
        <item x="4"/>
        <item x="1"/>
        <item t="default"/>
      </items>
    </pivotField>
    <pivotField axis="axisRow" showAll="0">
      <items count="6">
        <item x="3"/>
        <item x="2"/>
        <item x="4"/>
        <item x="1"/>
        <item x="0"/>
        <item t="default"/>
      </items>
    </pivotField>
    <pivotField showAll="0"/>
    <pivotField showAll="0"/>
    <pivotField showAll="0"/>
    <pivotField showAll="0"/>
    <pivotField showAll="0"/>
    <pivotField showAll="0"/>
    <pivotField showAll="0"/>
    <pivotField showAll="0"/>
    <pivotField showAll="0"/>
    <pivotField numFmtId="14" showAll="0"/>
    <pivotField numFmtId="14" showAll="0"/>
    <pivotField showAll="0">
      <items count="6">
        <item x="3"/>
        <item x="0"/>
        <item x="1"/>
        <item x="2"/>
        <item x="4"/>
        <item t="default"/>
      </items>
    </pivotField>
    <pivotField showAll="0"/>
    <pivotField dataField="1" showAll="0"/>
    <pivotField showAll="0"/>
    <pivotField numFmtId="14"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pageFields count="1">
    <pageField fld="1" hier="-1"/>
  </pageFields>
  <dataFields count="1">
    <dataField name="Sum of yield_kg_per_hectare" fld="1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1:B7" firstHeaderRow="1" firstDataRow="1" firstDataCol="1"/>
  <pivotFields count="26">
    <pivotField showAll="0"/>
    <pivotField showAll="0">
      <items count="6">
        <item x="2"/>
        <item x="3"/>
        <item x="0"/>
        <item x="4"/>
        <item x="1"/>
        <item t="default"/>
      </items>
    </pivotField>
    <pivotField showAll="0">
      <items count="6">
        <item x="3"/>
        <item x="2"/>
        <item x="4"/>
        <item x="1"/>
        <item x="0"/>
        <item t="default"/>
      </items>
    </pivotField>
    <pivotField showAll="0"/>
    <pivotField showAll="0"/>
    <pivotField showAll="0"/>
    <pivotField showAll="0"/>
    <pivotField showAll="0"/>
    <pivotField showAll="0"/>
    <pivotField showAll="0"/>
    <pivotField showAll="0">
      <items count="4">
        <item x="1"/>
        <item x="2"/>
        <item x="0"/>
        <item t="default"/>
      </items>
    </pivotField>
    <pivotField showAll="0"/>
    <pivotField numFmtId="14" showAll="0"/>
    <pivotField numFmtId="14" showAll="0"/>
    <pivotField axis="axisRow" showAll="0" defaultSubtotal="0">
      <items count="5">
        <item x="3"/>
        <item x="0"/>
        <item x="1"/>
        <item x="2"/>
        <item x="4"/>
      </items>
    </pivotField>
    <pivotField showAll="0"/>
    <pivotField dataField="1" showAll="0"/>
    <pivotField showAll="0"/>
    <pivotField numFmtId="14"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Items count="1">
    <i/>
  </colItems>
  <dataFields count="1">
    <dataField name="Average of yield_kg_per_hectare" fld="16" subtotal="average" baseField="14" baseItem="1" numFmtId="1"/>
  </dataFields>
  <formats count="1">
    <format dxfId="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4" count="1" selected="0">
            <x v="3"/>
          </reference>
        </references>
      </pivotArea>
    </chartFormat>
    <chartFormat chart="3" format="4">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57:B61" firstHeaderRow="1" firstDataRow="1" firstDataCol="1"/>
  <pivotFields count="2">
    <pivotField axis="axisRow" showAll="0">
      <items count="4">
        <item x="1"/>
        <item x="0"/>
        <item x="2"/>
        <item t="default"/>
      </items>
    </pivotField>
    <pivotField dataField="1" showAll="0"/>
  </pivotFields>
  <rowFields count="1">
    <field x="0"/>
  </rowFields>
  <rowItems count="4">
    <i>
      <x/>
    </i>
    <i>
      <x v="1"/>
    </i>
    <i>
      <x v="2"/>
    </i>
    <i t="grand">
      <x/>
    </i>
  </rowItems>
  <colItems count="1">
    <i/>
  </colItems>
  <dataFields count="1">
    <dataField name="Sum of avg_yield"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109:B115" firstHeaderRow="1" firstDataRow="1" firstDataCol="1"/>
  <pivotFields count="3">
    <pivotField axis="axisRow" showAll="0">
      <items count="6">
        <item x="0"/>
        <item x="1"/>
        <item x="2"/>
        <item x="3"/>
        <item x="4"/>
        <item t="default"/>
      </items>
    </pivotField>
    <pivotField showAll="0">
      <items count="6">
        <item x="0"/>
        <item x="1"/>
        <item x="2"/>
        <item x="3"/>
        <item x="4"/>
        <item t="default"/>
      </items>
    </pivotField>
    <pivotField dataField="1" showAll="0"/>
  </pivotFields>
  <rowFields count="1">
    <field x="0"/>
  </rowFields>
  <rowItems count="6">
    <i>
      <x/>
    </i>
    <i>
      <x v="1"/>
    </i>
    <i>
      <x v="2"/>
    </i>
    <i>
      <x v="3"/>
    </i>
    <i>
      <x v="4"/>
    </i>
    <i t="grand">
      <x/>
    </i>
  </rowItems>
  <colItems count="1">
    <i/>
  </colItems>
  <dataFields count="1">
    <dataField name="Sum of avg_yield" fld="2"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3"/>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73:B79" firstHeaderRow="1" firstDataRow="1" firstDataCol="1"/>
  <pivotFields count="2">
    <pivotField axis="axisRow" showAll="0">
      <items count="6">
        <item x="0"/>
        <item x="4"/>
        <item x="3"/>
        <item x="2"/>
        <item x="1"/>
        <item t="default"/>
      </items>
    </pivotField>
    <pivotField dataField="1" showAll="0"/>
  </pivotFields>
  <rowFields count="1">
    <field x="0"/>
  </rowFields>
  <rowItems count="6">
    <i>
      <x/>
    </i>
    <i>
      <x v="1"/>
    </i>
    <i>
      <x v="2"/>
    </i>
    <i>
      <x v="3"/>
    </i>
    <i>
      <x v="4"/>
    </i>
    <i t="grand">
      <x/>
    </i>
  </rowItems>
  <colItems count="1">
    <i/>
  </colItems>
  <dataFields count="1">
    <dataField name="Sum of avg_yield"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6">
  <location ref="A2:B8" firstHeaderRow="1" firstDataRow="1" firstDataCol="1"/>
  <pivotFields count="2">
    <pivotField axis="axisRow" showAll="0">
      <items count="6">
        <item x="0"/>
        <item x="1"/>
        <item x="2"/>
        <item x="3"/>
        <item x="4"/>
        <item t="default"/>
      </items>
    </pivotField>
    <pivotField dataField="1" showAll="0"/>
  </pivotFields>
  <rowFields count="1">
    <field x="0"/>
  </rowFields>
  <rowItems count="6">
    <i>
      <x/>
    </i>
    <i>
      <x v="1"/>
    </i>
    <i>
      <x v="2"/>
    </i>
    <i>
      <x v="3"/>
    </i>
    <i>
      <x v="4"/>
    </i>
    <i t="grand">
      <x/>
    </i>
  </rowItems>
  <colItems count="1">
    <i/>
  </colItems>
  <dataFields count="1">
    <dataField name="Sum of total_yield" fld="1"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7">
  <location ref="A24:B30" firstHeaderRow="1" firstDataRow="1" firstDataCol="1" rowPageCount="1" colPageCount="1"/>
  <pivotFields count="3">
    <pivotField axis="axisPage" showAll="0">
      <items count="6">
        <item x="2"/>
        <item x="1"/>
        <item x="4"/>
        <item x="0"/>
        <item x="3"/>
        <item t="default"/>
      </items>
    </pivotField>
    <pivotField axis="axisRow" showAll="0">
      <items count="6">
        <item x="1"/>
        <item x="4"/>
        <item x="0"/>
        <item x="2"/>
        <item x="3"/>
        <item t="default"/>
      </items>
    </pivotField>
    <pivotField dataField="1" showAll="0"/>
  </pivotFields>
  <rowFields count="1">
    <field x="1"/>
  </rowFields>
  <rowItems count="6">
    <i>
      <x/>
    </i>
    <i>
      <x v="1"/>
    </i>
    <i>
      <x v="2"/>
    </i>
    <i>
      <x v="3"/>
    </i>
    <i>
      <x v="4"/>
    </i>
    <i t="grand">
      <x/>
    </i>
  </rowItems>
  <colItems count="1">
    <i/>
  </colItems>
  <pageFields count="1">
    <pageField fld="0" hier="-1"/>
  </pageFields>
  <dataFields count="1">
    <dataField name="Sum of total_yield" fld="2" baseField="0" baseItem="0"/>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9:B43" firstHeaderRow="1" firstDataRow="1" firstDataCol="1"/>
  <pivotFields count="2">
    <pivotField axis="axisRow" showAll="0">
      <items count="4">
        <item x="2"/>
        <item x="0"/>
        <item x="1"/>
        <item t="default"/>
      </items>
    </pivotField>
    <pivotField dataField="1" showAll="0"/>
  </pivotFields>
  <rowFields count="1">
    <field x="0"/>
  </rowFields>
  <rowItems count="4">
    <i>
      <x/>
    </i>
    <i>
      <x v="1"/>
    </i>
    <i>
      <x v="2"/>
    </i>
    <i t="grand">
      <x/>
    </i>
  </rowItems>
  <colItems count="1">
    <i/>
  </colItems>
  <dataFields count="1">
    <dataField name="Sum of avg_yield" fld="1"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8"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92:B97" firstHeaderRow="1" firstDataRow="1" firstDataCol="1" rowPageCount="1" colPageCount="1"/>
  <pivotFields count="3">
    <pivotField axis="axisPage" showAll="0">
      <items count="6">
        <item x="0"/>
        <item x="1"/>
        <item x="2"/>
        <item x="3"/>
        <item x="4"/>
        <item t="default"/>
      </items>
    </pivotField>
    <pivotField axis="axisRow" showAll="0">
      <items count="5">
        <item x="0"/>
        <item x="1"/>
        <item x="2"/>
        <item x="3"/>
        <item t="default"/>
      </items>
    </pivotField>
    <pivotField dataField="1" showAll="0"/>
  </pivotFields>
  <rowFields count="1">
    <field x="1"/>
  </rowFields>
  <rowItems count="5">
    <i>
      <x/>
    </i>
    <i>
      <x v="1"/>
    </i>
    <i>
      <x v="2"/>
    </i>
    <i>
      <x v="3"/>
    </i>
    <i t="grand">
      <x/>
    </i>
  </rowItems>
  <colItems count="1">
    <i/>
  </colItems>
  <pageFields count="1">
    <pageField fld="0" hier="-1"/>
  </pageFields>
  <dataFields count="1">
    <dataField name="Sum of avg_yield" fld="2" baseField="0" baseItem="0"/>
  </dataFields>
  <chartFormats count="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 name="PivotTable1"/>
    <pivotTable tabId="1" name="PivotTable2"/>
    <pivotTable tabId="1" name="PivotTable3"/>
    <pivotTable tabId="1" name="PivotTable4"/>
    <pivotTable tabId="1" name="PivotTable5"/>
  </pivotTables>
  <data>
    <tabular pivotCacheId="2">
      <items count="5">
        <i x="2" s="1"/>
        <i x="3" s="1"/>
        <i x="0" s="1"/>
        <i x="4"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rop_type" sourceName="crop_type">
  <pivotTables>
    <pivotTable tabId="1" name="PivotTable1"/>
    <pivotTable tabId="1" name="PivotTable2"/>
    <pivotTable tabId="1" name="PivotTable3"/>
    <pivotTable tabId="1" name="PivotTable4"/>
    <pivotTable tabId="1" name="PivotTable5"/>
  </pivotTables>
  <data>
    <tabular pivotCacheId="2">
      <items count="5">
        <i x="3" s="1"/>
        <i x="2" s="1"/>
        <i x="4"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Harvest_month" sourceName="Harvest_month">
  <pivotTables>
    <pivotTable tabId="1" name="PivotTable1"/>
    <pivotTable tabId="1" name="PivotTable2"/>
    <pivotTable tabId="1" name="PivotTable3"/>
    <pivotTable tabId="1" name="PivotTable4"/>
    <pivotTable tabId="1" name="PivotTable5"/>
  </pivotTables>
  <data>
    <tabular pivotCacheId="2">
      <items count="5">
        <i x="3" s="1"/>
        <i x="0" s="1"/>
        <i x="1"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Dark6 2" rowHeight="457200"/>
  <slicer name="Crop Type" cache="Slicer_crop_type" caption="Crop Type" style="SlicerStyleDark6 2" rowHeight="457200"/>
  <slicer name="Harvest_month" cache="Slicer_Harvest_month" caption="Harvest Month" style="SlicerStyleDark6 2" rowHeight="457200"/>
</slicers>
</file>

<file path=xl/tables/table1.xml><?xml version="1.0" encoding="utf-8"?>
<table xmlns="http://schemas.openxmlformats.org/spreadsheetml/2006/main" id="1" name="Table1" displayName="Table1" ref="A1:Z501" totalsRowShown="0">
  <autoFilter ref="A1:Z501"/>
  <tableColumns count="26">
    <tableColumn id="1" name="farm_id"/>
    <tableColumn id="2" name="region"/>
    <tableColumn id="3" name="crop_type"/>
    <tableColumn id="4" name="soil_moisture_percent"/>
    <tableColumn id="5" name="soil_ph"/>
    <tableColumn id="6" name="temperature_c"/>
    <tableColumn id="7" name="rainfall_mm"/>
    <tableColumn id="8" name="humidity_percent"/>
    <tableColumn id="9" name="sunlight_hour"/>
    <tableColumn id="10" name="irrigation_type"/>
    <tableColumn id="11" name="fertilizer_type"/>
    <tableColumn id="12" name="pesticide_usage_ml"/>
    <tableColumn id="13" name="sowing_date" dataDxfId="7"/>
    <tableColumn id="14" name="harvest_date" dataDxfId="6"/>
    <tableColumn id="27" name="Harvest_month" dataDxfId="5">
      <calculatedColumnFormula>TEXT(Table1[[#This Row],[harvest_date]],"mmmm")</calculatedColumnFormula>
    </tableColumn>
    <tableColumn id="15" name="total_days"/>
    <tableColumn id="16" name="yield_kg_per_hectare"/>
    <tableColumn id="17" name="sensor_id"/>
    <tableColumn id="18" name="timestamp" dataDxfId="4"/>
    <tableColumn id="19" name="latitude"/>
    <tableColumn id="20" name="longitude"/>
    <tableColumn id="21" name="ndvi_index"/>
    <tableColumn id="22" name="crop_disease_status"/>
    <tableColumn id="23" name="growth_days"/>
    <tableColumn id="24" name="yield_category"/>
    <tableColumn id="25" name="pesticide_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01"/>
  <sheetViews>
    <sheetView workbookViewId="0">
      <selection activeCell="A21" sqref="A21"/>
    </sheetView>
  </sheetViews>
  <sheetFormatPr defaultRowHeight="14.5" x14ac:dyDescent="0.35"/>
  <cols>
    <col min="1" max="1" width="13.81640625" customWidth="1"/>
    <col min="2" max="2" width="14.81640625" customWidth="1"/>
    <col min="3" max="3" width="16.36328125" customWidth="1"/>
    <col min="4" max="4" width="24.08984375" customWidth="1"/>
    <col min="5" max="5" width="13.08984375" customWidth="1"/>
    <col min="6" max="6" width="19.6328125" customWidth="1"/>
    <col min="7" max="7" width="16.36328125" customWidth="1"/>
    <col min="8" max="8" width="19.6328125" customWidth="1"/>
    <col min="9" max="9" width="16.6328125" customWidth="1"/>
    <col min="10" max="10" width="15.1796875" customWidth="1"/>
    <col min="11" max="11" width="14.54296875" customWidth="1"/>
    <col min="12" max="12" width="20.54296875" customWidth="1"/>
    <col min="13" max="13" width="13.453125" customWidth="1"/>
    <col min="14" max="14" width="13.90625" customWidth="1"/>
    <col min="15" max="15" width="15.90625" customWidth="1"/>
    <col min="16" max="16" width="11.6328125" customWidth="1"/>
    <col min="17" max="17" width="20.81640625" customWidth="1"/>
    <col min="18" max="18" width="10.90625" customWidth="1"/>
    <col min="19" max="19" width="14.7265625" customWidth="1"/>
    <col min="20" max="20" width="12.81640625" customWidth="1"/>
    <col min="21" max="21" width="13.453125" customWidth="1"/>
    <col min="22" max="22" width="16.81640625" customWidth="1"/>
    <col min="23" max="23" width="19.90625" customWidth="1"/>
    <col min="24" max="24" width="13.6328125" customWidth="1"/>
    <col min="25" max="25" width="14.90625" customWidth="1"/>
    <col min="26" max="26" width="18.453125" customWidth="1"/>
  </cols>
  <sheetData>
    <row r="1" spans="1:26" x14ac:dyDescent="0.35">
      <c r="A1" t="s">
        <v>39</v>
      </c>
      <c r="B1" t="s">
        <v>0</v>
      </c>
      <c r="C1" t="s">
        <v>9</v>
      </c>
      <c r="D1" t="s">
        <v>40</v>
      </c>
      <c r="E1" t="s">
        <v>41</v>
      </c>
      <c r="F1" t="s">
        <v>42</v>
      </c>
      <c r="G1" t="s">
        <v>43</v>
      </c>
      <c r="H1" t="s">
        <v>44</v>
      </c>
      <c r="I1" t="s">
        <v>45</v>
      </c>
      <c r="J1" t="s">
        <v>46</v>
      </c>
      <c r="K1" t="s">
        <v>16</v>
      </c>
      <c r="L1" t="s">
        <v>47</v>
      </c>
      <c r="M1" t="s">
        <v>48</v>
      </c>
      <c r="N1" t="s">
        <v>49</v>
      </c>
      <c r="O1" t="s">
        <v>1069</v>
      </c>
      <c r="P1" t="s">
        <v>50</v>
      </c>
      <c r="Q1" t="s">
        <v>51</v>
      </c>
      <c r="R1" t="s">
        <v>52</v>
      </c>
      <c r="S1" t="s">
        <v>53</v>
      </c>
      <c r="T1" t="s">
        <v>54</v>
      </c>
      <c r="U1" t="s">
        <v>55</v>
      </c>
      <c r="V1" t="s">
        <v>56</v>
      </c>
      <c r="W1" t="s">
        <v>29</v>
      </c>
      <c r="X1" t="s">
        <v>57</v>
      </c>
      <c r="Y1" t="s">
        <v>58</v>
      </c>
      <c r="Z1" t="s">
        <v>59</v>
      </c>
    </row>
    <row r="2" spans="1:26" x14ac:dyDescent="0.35">
      <c r="A2" t="s">
        <v>60</v>
      </c>
      <c r="B2" t="s">
        <v>3</v>
      </c>
      <c r="C2" t="s">
        <v>13</v>
      </c>
      <c r="D2">
        <v>35.950000000000003</v>
      </c>
      <c r="E2">
        <v>5.99</v>
      </c>
      <c r="F2">
        <v>17.79</v>
      </c>
      <c r="G2">
        <v>75.62</v>
      </c>
      <c r="H2">
        <v>77.03</v>
      </c>
      <c r="I2">
        <v>7.27</v>
      </c>
      <c r="J2" t="s">
        <v>32</v>
      </c>
      <c r="K2" t="s">
        <v>18</v>
      </c>
      <c r="L2">
        <v>6.34</v>
      </c>
      <c r="M2" s="5">
        <v>45299</v>
      </c>
      <c r="N2" s="5">
        <v>45421</v>
      </c>
      <c r="O2" s="5" t="str">
        <f>TEXT(Table1[[#This Row],[harvest_date]],"mmmm")</f>
        <v>May</v>
      </c>
      <c r="P2">
        <v>122</v>
      </c>
      <c r="Q2">
        <v>4408.07</v>
      </c>
      <c r="R2" t="s">
        <v>61</v>
      </c>
      <c r="S2" s="5">
        <v>45370</v>
      </c>
      <c r="T2">
        <v>14.970941</v>
      </c>
      <c r="U2">
        <v>82.997688999999994</v>
      </c>
      <c r="V2">
        <v>0.63</v>
      </c>
      <c r="W2" t="s">
        <v>30</v>
      </c>
      <c r="X2">
        <v>122</v>
      </c>
      <c r="Y2" t="s">
        <v>62</v>
      </c>
      <c r="Z2" t="s">
        <v>63</v>
      </c>
    </row>
    <row r="3" spans="1:26" x14ac:dyDescent="0.35">
      <c r="A3" t="s">
        <v>64</v>
      </c>
      <c r="B3" t="s">
        <v>5</v>
      </c>
      <c r="C3" t="s">
        <v>12</v>
      </c>
      <c r="D3">
        <v>19.739999999999998</v>
      </c>
      <c r="E3">
        <v>7.24</v>
      </c>
      <c r="F3">
        <v>30.18</v>
      </c>
      <c r="G3">
        <v>89.91</v>
      </c>
      <c r="H3">
        <v>61.13</v>
      </c>
      <c r="I3">
        <v>5.67</v>
      </c>
      <c r="J3" t="s">
        <v>65</v>
      </c>
      <c r="K3" t="s">
        <v>19</v>
      </c>
      <c r="L3">
        <v>9.6</v>
      </c>
      <c r="M3" s="5">
        <v>45326</v>
      </c>
      <c r="N3" s="5">
        <v>45438</v>
      </c>
      <c r="O3" s="5" t="str">
        <f>TEXT(Table1[[#This Row],[harvest_date]],"mmmm")</f>
        <v>May</v>
      </c>
      <c r="P3">
        <v>112</v>
      </c>
      <c r="Q3">
        <v>5389.98</v>
      </c>
      <c r="R3" t="s">
        <v>66</v>
      </c>
      <c r="S3" s="5">
        <v>45403</v>
      </c>
      <c r="T3">
        <v>16.613022000000001</v>
      </c>
      <c r="U3">
        <v>70.869009000000005</v>
      </c>
      <c r="V3">
        <v>0.57999999999999996</v>
      </c>
      <c r="W3" t="s">
        <v>32</v>
      </c>
      <c r="X3">
        <v>112</v>
      </c>
      <c r="Y3" t="s">
        <v>67</v>
      </c>
      <c r="Z3" t="s">
        <v>63</v>
      </c>
    </row>
    <row r="4" spans="1:26" x14ac:dyDescent="0.35">
      <c r="A4" t="s">
        <v>68</v>
      </c>
      <c r="B4" t="s">
        <v>5</v>
      </c>
      <c r="C4" t="s">
        <v>13</v>
      </c>
      <c r="D4">
        <v>29.32</v>
      </c>
      <c r="E4">
        <v>7.16</v>
      </c>
      <c r="F4">
        <v>27.37</v>
      </c>
      <c r="G4">
        <v>265.43</v>
      </c>
      <c r="H4">
        <v>68.87</v>
      </c>
      <c r="I4">
        <v>8.23</v>
      </c>
      <c r="J4" t="s">
        <v>69</v>
      </c>
      <c r="K4" t="s">
        <v>17</v>
      </c>
      <c r="L4">
        <v>15.26</v>
      </c>
      <c r="M4" s="5">
        <v>45325</v>
      </c>
      <c r="N4" s="5">
        <v>45469</v>
      </c>
      <c r="O4" s="5" t="str">
        <f>TEXT(Table1[[#This Row],[harvest_date]],"mmmm")</f>
        <v>June</v>
      </c>
      <c r="P4">
        <v>144</v>
      </c>
      <c r="Q4">
        <v>2931.16</v>
      </c>
      <c r="R4" t="s">
        <v>70</v>
      </c>
      <c r="S4" s="5">
        <v>45350</v>
      </c>
      <c r="T4">
        <v>19.503156000000001</v>
      </c>
      <c r="U4">
        <v>79.068206000000004</v>
      </c>
      <c r="V4">
        <v>0.8</v>
      </c>
      <c r="W4" t="s">
        <v>30</v>
      </c>
      <c r="X4">
        <v>144</v>
      </c>
      <c r="Y4" t="s">
        <v>71</v>
      </c>
      <c r="Z4" t="s">
        <v>72</v>
      </c>
    </row>
    <row r="5" spans="1:26" x14ac:dyDescent="0.35">
      <c r="A5" t="s">
        <v>73</v>
      </c>
      <c r="B5" t="s">
        <v>1</v>
      </c>
      <c r="C5" t="s">
        <v>14</v>
      </c>
      <c r="D5">
        <v>17.329999999999998</v>
      </c>
      <c r="E5">
        <v>6.03</v>
      </c>
      <c r="F5">
        <v>33.729999999999997</v>
      </c>
      <c r="G5">
        <v>212.01</v>
      </c>
      <c r="H5">
        <v>70.459999999999994</v>
      </c>
      <c r="I5">
        <v>5.03</v>
      </c>
      <c r="J5" t="s">
        <v>65</v>
      </c>
      <c r="K5" t="s">
        <v>18</v>
      </c>
      <c r="L5">
        <v>25.8</v>
      </c>
      <c r="M5" s="5">
        <v>45343</v>
      </c>
      <c r="N5" s="5">
        <v>45477</v>
      </c>
      <c r="O5" s="5" t="str">
        <f>TEXT(Table1[[#This Row],[harvest_date]],"mmmm")</f>
        <v>July</v>
      </c>
      <c r="P5">
        <v>134</v>
      </c>
      <c r="Q5">
        <v>4227.8</v>
      </c>
      <c r="R5" t="s">
        <v>74</v>
      </c>
      <c r="S5" s="5">
        <v>45426</v>
      </c>
      <c r="T5">
        <v>31.071297999999999</v>
      </c>
      <c r="U5">
        <v>85.519998000000001</v>
      </c>
      <c r="V5">
        <v>0.44</v>
      </c>
      <c r="W5" t="s">
        <v>32</v>
      </c>
      <c r="X5">
        <v>134</v>
      </c>
      <c r="Y5" t="s">
        <v>62</v>
      </c>
      <c r="Z5" t="s">
        <v>72</v>
      </c>
    </row>
    <row r="6" spans="1:26" x14ac:dyDescent="0.35">
      <c r="A6" t="s">
        <v>75</v>
      </c>
      <c r="B6" t="s">
        <v>1</v>
      </c>
      <c r="C6" t="s">
        <v>11</v>
      </c>
      <c r="D6">
        <v>19.37</v>
      </c>
      <c r="E6">
        <v>5.92</v>
      </c>
      <c r="F6">
        <v>33.86</v>
      </c>
      <c r="G6">
        <v>269.08999999999997</v>
      </c>
      <c r="H6">
        <v>55.73</v>
      </c>
      <c r="I6">
        <v>7.93</v>
      </c>
      <c r="J6" t="s">
        <v>32</v>
      </c>
      <c r="K6" t="s">
        <v>17</v>
      </c>
      <c r="L6">
        <v>25.65</v>
      </c>
      <c r="M6" s="5">
        <v>45327</v>
      </c>
      <c r="N6" s="5">
        <v>45432</v>
      </c>
      <c r="O6" s="5" t="str">
        <f>TEXT(Table1[[#This Row],[harvest_date]],"mmmm")</f>
        <v>May</v>
      </c>
      <c r="P6">
        <v>105</v>
      </c>
      <c r="Q6">
        <v>4979.96</v>
      </c>
      <c r="R6" t="s">
        <v>76</v>
      </c>
      <c r="S6" s="5">
        <v>45395</v>
      </c>
      <c r="T6">
        <v>16.568539999999999</v>
      </c>
      <c r="U6">
        <v>81.691720000000004</v>
      </c>
      <c r="V6">
        <v>0.84</v>
      </c>
      <c r="W6" t="s">
        <v>33</v>
      </c>
      <c r="X6">
        <v>105</v>
      </c>
      <c r="Y6" t="s">
        <v>62</v>
      </c>
      <c r="Z6" t="s">
        <v>72</v>
      </c>
    </row>
    <row r="7" spans="1:26" x14ac:dyDescent="0.35">
      <c r="A7" t="s">
        <v>77</v>
      </c>
      <c r="B7" t="s">
        <v>1</v>
      </c>
      <c r="C7" t="s">
        <v>10</v>
      </c>
      <c r="D7">
        <v>44.91</v>
      </c>
      <c r="E7">
        <v>5.78</v>
      </c>
      <c r="F7">
        <v>24.87</v>
      </c>
      <c r="G7">
        <v>238.95</v>
      </c>
      <c r="H7">
        <v>83.06</v>
      </c>
      <c r="I7">
        <v>4.92</v>
      </c>
      <c r="J7" t="s">
        <v>65</v>
      </c>
      <c r="K7" t="s">
        <v>17</v>
      </c>
      <c r="L7">
        <v>24</v>
      </c>
      <c r="M7" s="5">
        <v>45304</v>
      </c>
      <c r="N7" s="5">
        <v>45418</v>
      </c>
      <c r="O7" s="5" t="str">
        <f>TEXT(Table1[[#This Row],[harvest_date]],"mmmm")</f>
        <v>May</v>
      </c>
      <c r="P7">
        <v>114</v>
      </c>
      <c r="Q7">
        <v>4383.55</v>
      </c>
      <c r="R7" t="s">
        <v>78</v>
      </c>
      <c r="S7" s="5">
        <v>45363</v>
      </c>
      <c r="T7">
        <v>23.227858999999999</v>
      </c>
      <c r="U7">
        <v>89.421567999999994</v>
      </c>
      <c r="V7">
        <v>0.82</v>
      </c>
      <c r="W7" t="s">
        <v>32</v>
      </c>
      <c r="X7">
        <v>114</v>
      </c>
      <c r="Y7" t="s">
        <v>62</v>
      </c>
      <c r="Z7" t="s">
        <v>72</v>
      </c>
    </row>
    <row r="8" spans="1:26" x14ac:dyDescent="0.35">
      <c r="A8" t="s">
        <v>79</v>
      </c>
      <c r="B8" t="s">
        <v>3</v>
      </c>
      <c r="C8" t="s">
        <v>12</v>
      </c>
      <c r="D8">
        <v>36.28</v>
      </c>
      <c r="E8">
        <v>7.04</v>
      </c>
      <c r="F8">
        <v>21.8</v>
      </c>
      <c r="G8">
        <v>123.38</v>
      </c>
      <c r="H8">
        <v>47.91</v>
      </c>
      <c r="I8">
        <v>4.0199999999999996</v>
      </c>
      <c r="J8" t="s">
        <v>80</v>
      </c>
      <c r="K8" t="s">
        <v>17</v>
      </c>
      <c r="L8">
        <v>39.29</v>
      </c>
      <c r="M8" s="5">
        <v>45355</v>
      </c>
      <c r="N8" s="5">
        <v>45500</v>
      </c>
      <c r="O8" s="5" t="str">
        <f>TEXT(Table1[[#This Row],[harvest_date]],"mmmm")</f>
        <v>July</v>
      </c>
      <c r="P8">
        <v>145</v>
      </c>
      <c r="Q8">
        <v>4501.2</v>
      </c>
      <c r="R8" t="s">
        <v>81</v>
      </c>
      <c r="S8" s="5">
        <v>45484</v>
      </c>
      <c r="T8">
        <v>25.224254999999999</v>
      </c>
      <c r="U8">
        <v>73.056785000000005</v>
      </c>
      <c r="V8">
        <v>0.76</v>
      </c>
      <c r="W8" t="s">
        <v>32</v>
      </c>
      <c r="X8">
        <v>145</v>
      </c>
      <c r="Y8" t="s">
        <v>62</v>
      </c>
      <c r="Z8" t="s">
        <v>82</v>
      </c>
    </row>
    <row r="9" spans="1:26" x14ac:dyDescent="0.35">
      <c r="A9" t="s">
        <v>83</v>
      </c>
      <c r="B9" t="s">
        <v>2</v>
      </c>
      <c r="C9" t="s">
        <v>14</v>
      </c>
      <c r="D9">
        <v>27.1</v>
      </c>
      <c r="E9">
        <v>5.72</v>
      </c>
      <c r="F9">
        <v>22.26</v>
      </c>
      <c r="G9">
        <v>296.33</v>
      </c>
      <c r="H9">
        <v>80.34</v>
      </c>
      <c r="I9">
        <v>5.44</v>
      </c>
      <c r="J9" t="s">
        <v>65</v>
      </c>
      <c r="K9" t="s">
        <v>17</v>
      </c>
      <c r="L9">
        <v>47.61</v>
      </c>
      <c r="M9" s="5">
        <v>45315</v>
      </c>
      <c r="N9" s="5">
        <v>45436</v>
      </c>
      <c r="O9" s="5" t="str">
        <f>TEXT(Table1[[#This Row],[harvest_date]],"mmmm")</f>
        <v>May</v>
      </c>
      <c r="P9">
        <v>121</v>
      </c>
      <c r="Q9">
        <v>5264.09</v>
      </c>
      <c r="R9" t="s">
        <v>84</v>
      </c>
      <c r="S9" s="5">
        <v>45412</v>
      </c>
      <c r="T9">
        <v>23.317654000000001</v>
      </c>
      <c r="U9">
        <v>72.515209999999996</v>
      </c>
      <c r="V9">
        <v>0.7</v>
      </c>
      <c r="W9" t="s">
        <v>30</v>
      </c>
      <c r="X9">
        <v>121</v>
      </c>
      <c r="Y9" t="s">
        <v>67</v>
      </c>
      <c r="Z9" t="s">
        <v>82</v>
      </c>
    </row>
    <row r="10" spans="1:26" x14ac:dyDescent="0.35">
      <c r="A10" t="s">
        <v>85</v>
      </c>
      <c r="B10" t="s">
        <v>1</v>
      </c>
      <c r="C10" t="s">
        <v>12</v>
      </c>
      <c r="D10">
        <v>40.54</v>
      </c>
      <c r="E10">
        <v>6.35</v>
      </c>
      <c r="F10">
        <v>19.239999999999998</v>
      </c>
      <c r="G10">
        <v>184.82</v>
      </c>
      <c r="H10">
        <v>76.5</v>
      </c>
      <c r="I10">
        <v>5.21</v>
      </c>
      <c r="J10" t="s">
        <v>80</v>
      </c>
      <c r="K10" t="s">
        <v>19</v>
      </c>
      <c r="L10">
        <v>49.78</v>
      </c>
      <c r="M10" s="5">
        <v>45363</v>
      </c>
      <c r="N10" s="5">
        <v>45481</v>
      </c>
      <c r="O10" s="5" t="str">
        <f>TEXT(Table1[[#This Row],[harvest_date]],"mmmm")</f>
        <v>July</v>
      </c>
      <c r="P10">
        <v>118</v>
      </c>
      <c r="Q10">
        <v>5598.46</v>
      </c>
      <c r="R10" t="s">
        <v>86</v>
      </c>
      <c r="S10" s="5">
        <v>45420</v>
      </c>
      <c r="T10">
        <v>13.025105</v>
      </c>
      <c r="U10">
        <v>74.493947000000006</v>
      </c>
      <c r="V10">
        <v>0.5</v>
      </c>
      <c r="W10" t="s">
        <v>30</v>
      </c>
      <c r="X10">
        <v>118</v>
      </c>
      <c r="Y10" t="s">
        <v>67</v>
      </c>
      <c r="Z10" t="s">
        <v>82</v>
      </c>
    </row>
    <row r="11" spans="1:26" x14ac:dyDescent="0.35">
      <c r="A11" t="s">
        <v>87</v>
      </c>
      <c r="B11" t="s">
        <v>2</v>
      </c>
      <c r="C11" t="s">
        <v>10</v>
      </c>
      <c r="D11">
        <v>10.25</v>
      </c>
      <c r="E11">
        <v>6.92</v>
      </c>
      <c r="F11">
        <v>16.18</v>
      </c>
      <c r="G11">
        <v>66.849999999999994</v>
      </c>
      <c r="H11">
        <v>41.57</v>
      </c>
      <c r="I11">
        <v>5.98</v>
      </c>
      <c r="J11" t="s">
        <v>65</v>
      </c>
      <c r="K11" t="s">
        <v>19</v>
      </c>
      <c r="L11">
        <v>35.1</v>
      </c>
      <c r="M11" s="5">
        <v>45309</v>
      </c>
      <c r="N11" s="5">
        <v>45407</v>
      </c>
      <c r="O11" s="5" t="str">
        <f>TEXT(Table1[[#This Row],[harvest_date]],"mmmm")</f>
        <v>April</v>
      </c>
      <c r="P11">
        <v>98</v>
      </c>
      <c r="Q11">
        <v>4893.41</v>
      </c>
      <c r="R11" t="s">
        <v>88</v>
      </c>
      <c r="S11" s="5">
        <v>45382</v>
      </c>
      <c r="T11">
        <v>24.405290999999998</v>
      </c>
      <c r="U11">
        <v>74.859944999999996</v>
      </c>
      <c r="V11">
        <v>0.57999999999999996</v>
      </c>
      <c r="W11" t="s">
        <v>33</v>
      </c>
      <c r="X11">
        <v>98</v>
      </c>
      <c r="Y11" t="s">
        <v>62</v>
      </c>
      <c r="Z11" t="s">
        <v>72</v>
      </c>
    </row>
    <row r="12" spans="1:26" x14ac:dyDescent="0.35">
      <c r="A12" t="s">
        <v>89</v>
      </c>
      <c r="B12" t="s">
        <v>4</v>
      </c>
      <c r="C12" t="s">
        <v>13</v>
      </c>
      <c r="D12">
        <v>13.39</v>
      </c>
      <c r="E12">
        <v>6.36</v>
      </c>
      <c r="F12">
        <v>23.47</v>
      </c>
      <c r="G12">
        <v>166.76</v>
      </c>
      <c r="H12">
        <v>76.45</v>
      </c>
      <c r="I12">
        <v>8.0399999999999991</v>
      </c>
      <c r="J12" t="s">
        <v>69</v>
      </c>
      <c r="K12" t="s">
        <v>18</v>
      </c>
      <c r="L12">
        <v>23.12</v>
      </c>
      <c r="M12" s="5">
        <v>45348</v>
      </c>
      <c r="N12" s="5">
        <v>45493</v>
      </c>
      <c r="O12" s="5" t="str">
        <f>TEXT(Table1[[#This Row],[harvest_date]],"mmmm")</f>
        <v>July</v>
      </c>
      <c r="P12">
        <v>145</v>
      </c>
      <c r="Q12">
        <v>2437.08</v>
      </c>
      <c r="R12" t="s">
        <v>90</v>
      </c>
      <c r="S12" s="5">
        <v>45397</v>
      </c>
      <c r="T12">
        <v>14.755223000000001</v>
      </c>
      <c r="U12">
        <v>78.972271000000006</v>
      </c>
      <c r="V12">
        <v>0.55000000000000004</v>
      </c>
      <c r="W12" t="s">
        <v>31</v>
      </c>
      <c r="X12">
        <v>145</v>
      </c>
      <c r="Y12" t="s">
        <v>71</v>
      </c>
      <c r="Z12" t="s">
        <v>72</v>
      </c>
    </row>
    <row r="13" spans="1:26" x14ac:dyDescent="0.35">
      <c r="A13" t="s">
        <v>91</v>
      </c>
      <c r="B13" t="s">
        <v>5</v>
      </c>
      <c r="C13" t="s">
        <v>10</v>
      </c>
      <c r="D13">
        <v>40.61</v>
      </c>
      <c r="E13">
        <v>5.65</v>
      </c>
      <c r="F13">
        <v>31.16</v>
      </c>
      <c r="G13">
        <v>263.99</v>
      </c>
      <c r="H13">
        <v>44.9</v>
      </c>
      <c r="I13">
        <v>7.91</v>
      </c>
      <c r="J13" t="s">
        <v>69</v>
      </c>
      <c r="K13" t="s">
        <v>18</v>
      </c>
      <c r="L13">
        <v>46.69</v>
      </c>
      <c r="M13" s="5">
        <v>45297</v>
      </c>
      <c r="N13" s="5">
        <v>45413</v>
      </c>
      <c r="O13" s="5" t="str">
        <f>TEXT(Table1[[#This Row],[harvest_date]],"mmmm")</f>
        <v>May</v>
      </c>
      <c r="P13">
        <v>116</v>
      </c>
      <c r="Q13">
        <v>3942.56</v>
      </c>
      <c r="R13" t="s">
        <v>92</v>
      </c>
      <c r="S13" s="5">
        <v>45324</v>
      </c>
      <c r="T13">
        <v>31.61626</v>
      </c>
      <c r="U13">
        <v>88.048856999999998</v>
      </c>
      <c r="V13">
        <v>0.4</v>
      </c>
      <c r="W13" t="s">
        <v>32</v>
      </c>
      <c r="X13">
        <v>116</v>
      </c>
      <c r="Y13" t="s">
        <v>62</v>
      </c>
      <c r="Z13" t="s">
        <v>82</v>
      </c>
    </row>
    <row r="14" spans="1:26" x14ac:dyDescent="0.35">
      <c r="A14" t="s">
        <v>93</v>
      </c>
      <c r="B14" t="s">
        <v>5</v>
      </c>
      <c r="C14" t="s">
        <v>14</v>
      </c>
      <c r="D14">
        <v>42.43</v>
      </c>
      <c r="E14">
        <v>7.07</v>
      </c>
      <c r="F14">
        <v>20.7</v>
      </c>
      <c r="G14">
        <v>224.15</v>
      </c>
      <c r="H14">
        <v>76.53</v>
      </c>
      <c r="I14">
        <v>8.6999999999999993</v>
      </c>
      <c r="J14" t="s">
        <v>32</v>
      </c>
      <c r="K14" t="s">
        <v>18</v>
      </c>
      <c r="L14">
        <v>13.55</v>
      </c>
      <c r="M14" s="5">
        <v>45293</v>
      </c>
      <c r="N14" s="5">
        <v>45420</v>
      </c>
      <c r="O14" s="5" t="str">
        <f>TEXT(Table1[[#This Row],[harvest_date]],"mmmm")</f>
        <v>May</v>
      </c>
      <c r="P14">
        <v>127</v>
      </c>
      <c r="Q14">
        <v>4942.95</v>
      </c>
      <c r="R14" t="s">
        <v>94</v>
      </c>
      <c r="S14" s="5">
        <v>45308</v>
      </c>
      <c r="T14">
        <v>28.699389</v>
      </c>
      <c r="U14">
        <v>71.143304999999998</v>
      </c>
      <c r="V14">
        <v>0.65</v>
      </c>
      <c r="W14" t="s">
        <v>30</v>
      </c>
      <c r="X14">
        <v>127</v>
      </c>
      <c r="Y14" t="s">
        <v>62</v>
      </c>
      <c r="Z14" t="s">
        <v>63</v>
      </c>
    </row>
    <row r="15" spans="1:26" x14ac:dyDescent="0.35">
      <c r="A15" t="s">
        <v>95</v>
      </c>
      <c r="B15" t="s">
        <v>3</v>
      </c>
      <c r="C15" t="s">
        <v>12</v>
      </c>
      <c r="D15">
        <v>12.8</v>
      </c>
      <c r="E15">
        <v>5.87</v>
      </c>
      <c r="F15">
        <v>26.9</v>
      </c>
      <c r="G15">
        <v>218.8</v>
      </c>
      <c r="H15">
        <v>51.76</v>
      </c>
      <c r="I15">
        <v>4.72</v>
      </c>
      <c r="J15" t="s">
        <v>65</v>
      </c>
      <c r="K15" t="s">
        <v>17</v>
      </c>
      <c r="L15">
        <v>31.75</v>
      </c>
      <c r="M15" s="5">
        <v>45354</v>
      </c>
      <c r="N15" s="5">
        <v>45470</v>
      </c>
      <c r="O15" s="5" t="str">
        <f>TEXT(Table1[[#This Row],[harvest_date]],"mmmm")</f>
        <v>June</v>
      </c>
      <c r="P15">
        <v>116</v>
      </c>
      <c r="Q15">
        <v>4629.49</v>
      </c>
      <c r="R15" t="s">
        <v>96</v>
      </c>
      <c r="S15" s="5">
        <v>45426</v>
      </c>
      <c r="T15">
        <v>23.069568</v>
      </c>
      <c r="U15">
        <v>88.694125</v>
      </c>
      <c r="V15">
        <v>0.42</v>
      </c>
      <c r="W15" t="s">
        <v>31</v>
      </c>
      <c r="X15">
        <v>116</v>
      </c>
      <c r="Y15" t="s">
        <v>62</v>
      </c>
      <c r="Z15" t="s">
        <v>72</v>
      </c>
    </row>
    <row r="16" spans="1:26" x14ac:dyDescent="0.35">
      <c r="A16" t="s">
        <v>97</v>
      </c>
      <c r="B16" t="s">
        <v>4</v>
      </c>
      <c r="C16" t="s">
        <v>14</v>
      </c>
      <c r="D16">
        <v>23.85</v>
      </c>
      <c r="E16">
        <v>6.84</v>
      </c>
      <c r="F16">
        <v>21</v>
      </c>
      <c r="G16">
        <v>129.04</v>
      </c>
      <c r="H16">
        <v>77.59</v>
      </c>
      <c r="I16">
        <v>4.4400000000000004</v>
      </c>
      <c r="J16" t="s">
        <v>32</v>
      </c>
      <c r="K16" t="s">
        <v>17</v>
      </c>
      <c r="L16">
        <v>49.93</v>
      </c>
      <c r="M16" s="5">
        <v>45294</v>
      </c>
      <c r="N16" s="5">
        <v>45418</v>
      </c>
      <c r="O16" s="5" t="str">
        <f>TEXT(Table1[[#This Row],[harvest_date]],"mmmm")</f>
        <v>May</v>
      </c>
      <c r="P16">
        <v>124</v>
      </c>
      <c r="Q16">
        <v>2852.62</v>
      </c>
      <c r="R16" t="s">
        <v>98</v>
      </c>
      <c r="S16" s="5">
        <v>45327</v>
      </c>
      <c r="T16">
        <v>13.311413999999999</v>
      </c>
      <c r="U16">
        <v>76.980176999999998</v>
      </c>
      <c r="V16">
        <v>0.34</v>
      </c>
      <c r="W16" t="s">
        <v>30</v>
      </c>
      <c r="X16">
        <v>124</v>
      </c>
      <c r="Y16" t="s">
        <v>71</v>
      </c>
      <c r="Z16" t="s">
        <v>82</v>
      </c>
    </row>
    <row r="17" spans="1:26" x14ac:dyDescent="0.35">
      <c r="A17" t="s">
        <v>99</v>
      </c>
      <c r="B17" t="s">
        <v>1</v>
      </c>
      <c r="C17" t="s">
        <v>14</v>
      </c>
      <c r="D17">
        <v>15.52</v>
      </c>
      <c r="E17">
        <v>7.17</v>
      </c>
      <c r="F17">
        <v>29.07</v>
      </c>
      <c r="G17">
        <v>202.92</v>
      </c>
      <c r="H17">
        <v>89.36</v>
      </c>
      <c r="I17">
        <v>7.92</v>
      </c>
      <c r="J17" t="s">
        <v>69</v>
      </c>
      <c r="K17" t="s">
        <v>17</v>
      </c>
      <c r="L17">
        <v>41.77</v>
      </c>
      <c r="M17" s="5">
        <v>45344</v>
      </c>
      <c r="N17" s="5">
        <v>45440</v>
      </c>
      <c r="O17" s="5" t="str">
        <f>TEXT(Table1[[#This Row],[harvest_date]],"mmmm")</f>
        <v>May</v>
      </c>
      <c r="P17">
        <v>96</v>
      </c>
      <c r="Q17">
        <v>5755.72</v>
      </c>
      <c r="R17" t="s">
        <v>100</v>
      </c>
      <c r="S17" s="5">
        <v>45361</v>
      </c>
      <c r="T17">
        <v>16.611647999999999</v>
      </c>
      <c r="U17">
        <v>87.794253999999995</v>
      </c>
      <c r="V17">
        <v>0.75</v>
      </c>
      <c r="W17" t="s">
        <v>30</v>
      </c>
      <c r="X17">
        <v>96</v>
      </c>
      <c r="Y17" t="s">
        <v>67</v>
      </c>
      <c r="Z17" t="s">
        <v>82</v>
      </c>
    </row>
    <row r="18" spans="1:26" x14ac:dyDescent="0.35">
      <c r="A18" t="s">
        <v>101</v>
      </c>
      <c r="B18" t="s">
        <v>1</v>
      </c>
      <c r="C18" t="s">
        <v>14</v>
      </c>
      <c r="D18">
        <v>31.17</v>
      </c>
      <c r="E18">
        <v>6.94</v>
      </c>
      <c r="F18">
        <v>19.07</v>
      </c>
      <c r="G18">
        <v>208.56</v>
      </c>
      <c r="H18">
        <v>53.2</v>
      </c>
      <c r="I18">
        <v>6.93</v>
      </c>
      <c r="J18" t="s">
        <v>69</v>
      </c>
      <c r="K18" t="s">
        <v>18</v>
      </c>
      <c r="L18">
        <v>33.54</v>
      </c>
      <c r="M18" s="5">
        <v>45324</v>
      </c>
      <c r="N18" s="5">
        <v>45414</v>
      </c>
      <c r="O18" s="5" t="str">
        <f>TEXT(Table1[[#This Row],[harvest_date]],"mmmm")</f>
        <v>May</v>
      </c>
      <c r="P18">
        <v>90</v>
      </c>
      <c r="Q18">
        <v>3334.23</v>
      </c>
      <c r="R18" t="s">
        <v>102</v>
      </c>
      <c r="S18" s="5">
        <v>45340</v>
      </c>
      <c r="T18">
        <v>25.927834000000001</v>
      </c>
      <c r="U18">
        <v>75.239104999999995</v>
      </c>
      <c r="V18">
        <v>0.74</v>
      </c>
      <c r="W18" t="s">
        <v>33</v>
      </c>
      <c r="X18">
        <v>90</v>
      </c>
      <c r="Y18" t="s">
        <v>62</v>
      </c>
      <c r="Z18" t="s">
        <v>72</v>
      </c>
    </row>
    <row r="19" spans="1:26" x14ac:dyDescent="0.35">
      <c r="A19" t="s">
        <v>103</v>
      </c>
      <c r="B19" t="s">
        <v>2</v>
      </c>
      <c r="C19" t="s">
        <v>13</v>
      </c>
      <c r="D19">
        <v>13.92</v>
      </c>
      <c r="E19">
        <v>7.39</v>
      </c>
      <c r="F19">
        <v>28.82</v>
      </c>
      <c r="G19">
        <v>87.26</v>
      </c>
      <c r="H19">
        <v>41.8</v>
      </c>
      <c r="I19">
        <v>6.22</v>
      </c>
      <c r="J19" t="s">
        <v>65</v>
      </c>
      <c r="K19" t="s">
        <v>19</v>
      </c>
      <c r="L19">
        <v>10.74</v>
      </c>
      <c r="M19" s="5">
        <v>45334</v>
      </c>
      <c r="N19" s="5">
        <v>45481</v>
      </c>
      <c r="O19" s="5" t="str">
        <f>TEXT(Table1[[#This Row],[harvest_date]],"mmmm")</f>
        <v>July</v>
      </c>
      <c r="P19">
        <v>147</v>
      </c>
      <c r="Q19">
        <v>5732.35</v>
      </c>
      <c r="R19" t="s">
        <v>104</v>
      </c>
      <c r="S19" s="5">
        <v>45344</v>
      </c>
      <c r="T19">
        <v>32.473115999999997</v>
      </c>
      <c r="U19">
        <v>74.201531000000003</v>
      </c>
      <c r="V19">
        <v>0.45</v>
      </c>
      <c r="W19" t="s">
        <v>32</v>
      </c>
      <c r="X19">
        <v>147</v>
      </c>
      <c r="Y19" t="s">
        <v>67</v>
      </c>
      <c r="Z19" t="s">
        <v>63</v>
      </c>
    </row>
    <row r="20" spans="1:26" x14ac:dyDescent="0.35">
      <c r="A20" t="s">
        <v>105</v>
      </c>
      <c r="B20" t="s">
        <v>1</v>
      </c>
      <c r="C20" t="s">
        <v>12</v>
      </c>
      <c r="D20">
        <v>40.94</v>
      </c>
      <c r="E20">
        <v>6.31</v>
      </c>
      <c r="F20">
        <v>27.41</v>
      </c>
      <c r="G20">
        <v>88.64</v>
      </c>
      <c r="H20">
        <v>86.49</v>
      </c>
      <c r="I20">
        <v>9.19</v>
      </c>
      <c r="J20" t="s">
        <v>65</v>
      </c>
      <c r="K20" t="s">
        <v>19</v>
      </c>
      <c r="L20">
        <v>6.12</v>
      </c>
      <c r="M20" s="5">
        <v>45362</v>
      </c>
      <c r="N20" s="5">
        <v>45502</v>
      </c>
      <c r="O20" s="5" t="str">
        <f>TEXT(Table1[[#This Row],[harvest_date]],"mmmm")</f>
        <v>July</v>
      </c>
      <c r="P20">
        <v>140</v>
      </c>
      <c r="Q20">
        <v>5723.26</v>
      </c>
      <c r="R20" t="s">
        <v>106</v>
      </c>
      <c r="S20" s="5">
        <v>45425</v>
      </c>
      <c r="T20">
        <v>16.670142999999999</v>
      </c>
      <c r="U20">
        <v>85.747489999999999</v>
      </c>
      <c r="V20">
        <v>0.36</v>
      </c>
      <c r="W20" t="s">
        <v>32</v>
      </c>
      <c r="X20">
        <v>140</v>
      </c>
      <c r="Y20" t="s">
        <v>67</v>
      </c>
      <c r="Z20" t="s">
        <v>63</v>
      </c>
    </row>
    <row r="21" spans="1:26" x14ac:dyDescent="0.35">
      <c r="A21" t="s">
        <v>107</v>
      </c>
      <c r="B21" t="s">
        <v>5</v>
      </c>
      <c r="C21" t="s">
        <v>10</v>
      </c>
      <c r="D21">
        <v>16.989999999999998</v>
      </c>
      <c r="E21">
        <v>7.34</v>
      </c>
      <c r="F21">
        <v>21.99</v>
      </c>
      <c r="G21">
        <v>255.13</v>
      </c>
      <c r="H21">
        <v>83.57</v>
      </c>
      <c r="I21">
        <v>5.34</v>
      </c>
      <c r="J21" t="s">
        <v>65</v>
      </c>
      <c r="K21" t="s">
        <v>19</v>
      </c>
      <c r="L21">
        <v>19.77</v>
      </c>
      <c r="M21" s="5">
        <v>45316</v>
      </c>
      <c r="N21" s="5">
        <v>45423</v>
      </c>
      <c r="O21" s="5" t="str">
        <f>TEXT(Table1[[#This Row],[harvest_date]],"mmmm")</f>
        <v>May</v>
      </c>
      <c r="P21">
        <v>107</v>
      </c>
      <c r="Q21">
        <v>3404.58</v>
      </c>
      <c r="R21" t="s">
        <v>108</v>
      </c>
      <c r="S21" s="5">
        <v>45381</v>
      </c>
      <c r="T21">
        <v>19.991959999999999</v>
      </c>
      <c r="U21">
        <v>89.622994000000006</v>
      </c>
      <c r="V21">
        <v>0.62</v>
      </c>
      <c r="W21" t="s">
        <v>32</v>
      </c>
      <c r="X21">
        <v>107</v>
      </c>
      <c r="Y21" t="s">
        <v>62</v>
      </c>
      <c r="Z21" t="s">
        <v>72</v>
      </c>
    </row>
    <row r="22" spans="1:26" x14ac:dyDescent="0.35">
      <c r="A22" t="s">
        <v>109</v>
      </c>
      <c r="B22" t="s">
        <v>3</v>
      </c>
      <c r="C22" t="s">
        <v>14</v>
      </c>
      <c r="D22">
        <v>16.25</v>
      </c>
      <c r="E22">
        <v>7.43</v>
      </c>
      <c r="F22">
        <v>20.309999999999999</v>
      </c>
      <c r="G22">
        <v>77.099999999999994</v>
      </c>
      <c r="H22">
        <v>61.73</v>
      </c>
      <c r="I22">
        <v>8.3699999999999992</v>
      </c>
      <c r="J22" t="s">
        <v>80</v>
      </c>
      <c r="K22" t="s">
        <v>19</v>
      </c>
      <c r="L22">
        <v>32.28</v>
      </c>
      <c r="M22" s="5">
        <v>45355</v>
      </c>
      <c r="N22" s="5">
        <v>45469</v>
      </c>
      <c r="O22" s="5" t="str">
        <f>TEXT(Table1[[#This Row],[harvest_date]],"mmmm")</f>
        <v>June</v>
      </c>
      <c r="P22">
        <v>114</v>
      </c>
      <c r="Q22">
        <v>5598.02</v>
      </c>
      <c r="R22" t="s">
        <v>110</v>
      </c>
      <c r="S22" s="5">
        <v>45379</v>
      </c>
      <c r="T22">
        <v>16.368062999999999</v>
      </c>
      <c r="U22">
        <v>84.175706000000005</v>
      </c>
      <c r="V22">
        <v>0.3</v>
      </c>
      <c r="W22" t="s">
        <v>30</v>
      </c>
      <c r="X22">
        <v>114</v>
      </c>
      <c r="Y22" t="s">
        <v>67</v>
      </c>
      <c r="Z22" t="s">
        <v>72</v>
      </c>
    </row>
    <row r="23" spans="1:26" x14ac:dyDescent="0.35">
      <c r="A23" t="s">
        <v>111</v>
      </c>
      <c r="B23" t="s">
        <v>1</v>
      </c>
      <c r="C23" t="s">
        <v>11</v>
      </c>
      <c r="D23">
        <v>12.45</v>
      </c>
      <c r="E23">
        <v>6.83</v>
      </c>
      <c r="F23">
        <v>21.6</v>
      </c>
      <c r="G23">
        <v>128.47999999999999</v>
      </c>
      <c r="H23">
        <v>82.4</v>
      </c>
      <c r="I23">
        <v>8.32</v>
      </c>
      <c r="J23" t="s">
        <v>80</v>
      </c>
      <c r="K23" t="s">
        <v>17</v>
      </c>
      <c r="L23">
        <v>18.920000000000002</v>
      </c>
      <c r="M23" s="5">
        <v>45333</v>
      </c>
      <c r="N23" s="5">
        <v>45448</v>
      </c>
      <c r="O23" s="5" t="str">
        <f>TEXT(Table1[[#This Row],[harvest_date]],"mmmm")</f>
        <v>June</v>
      </c>
      <c r="P23">
        <v>115</v>
      </c>
      <c r="Q23">
        <v>4788.83</v>
      </c>
      <c r="R23" t="s">
        <v>112</v>
      </c>
      <c r="S23" s="5">
        <v>45403</v>
      </c>
      <c r="T23">
        <v>13.182195</v>
      </c>
      <c r="U23">
        <v>78.408927000000006</v>
      </c>
      <c r="V23">
        <v>0.86</v>
      </c>
      <c r="W23" t="s">
        <v>30</v>
      </c>
      <c r="X23">
        <v>115</v>
      </c>
      <c r="Y23" t="s">
        <v>62</v>
      </c>
      <c r="Z23" t="s">
        <v>72</v>
      </c>
    </row>
    <row r="24" spans="1:26" x14ac:dyDescent="0.35">
      <c r="A24" t="s">
        <v>113</v>
      </c>
      <c r="B24" t="s">
        <v>2</v>
      </c>
      <c r="C24" t="s">
        <v>12</v>
      </c>
      <c r="D24">
        <v>20.53</v>
      </c>
      <c r="E24">
        <v>6.6</v>
      </c>
      <c r="F24">
        <v>15.01</v>
      </c>
      <c r="G24">
        <v>121.73</v>
      </c>
      <c r="H24">
        <v>61.49</v>
      </c>
      <c r="I24">
        <v>7.48</v>
      </c>
      <c r="J24" t="s">
        <v>80</v>
      </c>
      <c r="K24" t="s">
        <v>19</v>
      </c>
      <c r="L24">
        <v>24.88</v>
      </c>
      <c r="M24" s="5">
        <v>45358</v>
      </c>
      <c r="N24" s="5">
        <v>45480</v>
      </c>
      <c r="O24" s="5" t="str">
        <f>TEXT(Table1[[#This Row],[harvest_date]],"mmmm")</f>
        <v>July</v>
      </c>
      <c r="P24">
        <v>122</v>
      </c>
      <c r="Q24">
        <v>3892.74</v>
      </c>
      <c r="R24" t="s">
        <v>114</v>
      </c>
      <c r="S24" s="5">
        <v>45473</v>
      </c>
      <c r="T24">
        <v>33.995800000000003</v>
      </c>
      <c r="U24">
        <v>84.719228999999999</v>
      </c>
      <c r="V24">
        <v>0.7</v>
      </c>
      <c r="W24" t="s">
        <v>31</v>
      </c>
      <c r="X24">
        <v>122</v>
      </c>
      <c r="Y24" t="s">
        <v>62</v>
      </c>
      <c r="Z24" t="s">
        <v>72</v>
      </c>
    </row>
    <row r="25" spans="1:26" x14ac:dyDescent="0.35">
      <c r="A25" t="s">
        <v>115</v>
      </c>
      <c r="B25" t="s">
        <v>2</v>
      </c>
      <c r="C25" t="s">
        <v>12</v>
      </c>
      <c r="D25">
        <v>21.73</v>
      </c>
      <c r="E25">
        <v>7.14</v>
      </c>
      <c r="F25">
        <v>30.02</v>
      </c>
      <c r="G25">
        <v>218.2</v>
      </c>
      <c r="H25">
        <v>51.23</v>
      </c>
      <c r="I25">
        <v>5.19</v>
      </c>
      <c r="J25" t="s">
        <v>69</v>
      </c>
      <c r="K25" t="s">
        <v>18</v>
      </c>
      <c r="L25">
        <v>16.02</v>
      </c>
      <c r="M25" s="5">
        <v>45342</v>
      </c>
      <c r="N25" s="5">
        <v>45486</v>
      </c>
      <c r="O25" s="5" t="str">
        <f>TEXT(Table1[[#This Row],[harvest_date]],"mmmm")</f>
        <v>July</v>
      </c>
      <c r="P25">
        <v>144</v>
      </c>
      <c r="Q25">
        <v>5073.96</v>
      </c>
      <c r="R25" t="s">
        <v>116</v>
      </c>
      <c r="S25" s="5">
        <v>45458</v>
      </c>
      <c r="T25">
        <v>20.361025000000001</v>
      </c>
      <c r="U25">
        <v>82.595308000000003</v>
      </c>
      <c r="V25">
        <v>0.42</v>
      </c>
      <c r="W25" t="s">
        <v>33</v>
      </c>
      <c r="X25">
        <v>144</v>
      </c>
      <c r="Y25" t="s">
        <v>67</v>
      </c>
      <c r="Z25" t="s">
        <v>72</v>
      </c>
    </row>
    <row r="26" spans="1:26" x14ac:dyDescent="0.35">
      <c r="A26" t="s">
        <v>117</v>
      </c>
      <c r="B26" t="s">
        <v>5</v>
      </c>
      <c r="C26" t="s">
        <v>11</v>
      </c>
      <c r="D26">
        <v>18.54</v>
      </c>
      <c r="E26">
        <v>6.81</v>
      </c>
      <c r="F26">
        <v>15.11</v>
      </c>
      <c r="G26">
        <v>237.74</v>
      </c>
      <c r="H26">
        <v>78.5</v>
      </c>
      <c r="I26">
        <v>4.6399999999999997</v>
      </c>
      <c r="J26" t="s">
        <v>32</v>
      </c>
      <c r="K26" t="s">
        <v>18</v>
      </c>
      <c r="L26">
        <v>12.91</v>
      </c>
      <c r="M26" s="5">
        <v>45368</v>
      </c>
      <c r="N26" s="5">
        <v>45487</v>
      </c>
      <c r="O26" s="5" t="str">
        <f>TEXT(Table1[[#This Row],[harvest_date]],"mmmm")</f>
        <v>July</v>
      </c>
      <c r="P26">
        <v>119</v>
      </c>
      <c r="Q26">
        <v>2200.87</v>
      </c>
      <c r="R26" t="s">
        <v>118</v>
      </c>
      <c r="S26" s="5">
        <v>45399</v>
      </c>
      <c r="T26">
        <v>32.936750000000004</v>
      </c>
      <c r="U26">
        <v>72.427171999999999</v>
      </c>
      <c r="V26">
        <v>0.38</v>
      </c>
      <c r="W26" t="s">
        <v>33</v>
      </c>
      <c r="X26">
        <v>119</v>
      </c>
      <c r="Y26" t="s">
        <v>71</v>
      </c>
      <c r="Z26" t="s">
        <v>63</v>
      </c>
    </row>
    <row r="27" spans="1:26" x14ac:dyDescent="0.35">
      <c r="A27" t="s">
        <v>119</v>
      </c>
      <c r="B27" t="s">
        <v>2</v>
      </c>
      <c r="C27" t="s">
        <v>12</v>
      </c>
      <c r="D27">
        <v>30.84</v>
      </c>
      <c r="E27">
        <v>7.4</v>
      </c>
      <c r="F27">
        <v>32.83</v>
      </c>
      <c r="G27">
        <v>203.16</v>
      </c>
      <c r="H27">
        <v>75.959999999999994</v>
      </c>
      <c r="I27">
        <v>7.03</v>
      </c>
      <c r="J27" t="s">
        <v>32</v>
      </c>
      <c r="K27" t="s">
        <v>18</v>
      </c>
      <c r="L27">
        <v>38.46</v>
      </c>
      <c r="M27" s="5">
        <v>45337</v>
      </c>
      <c r="N27" s="5">
        <v>45443</v>
      </c>
      <c r="O27" s="5" t="str">
        <f>TEXT(Table1[[#This Row],[harvest_date]],"mmmm")</f>
        <v>May</v>
      </c>
      <c r="P27">
        <v>106</v>
      </c>
      <c r="Q27">
        <v>5007.1099999999997</v>
      </c>
      <c r="R27" t="s">
        <v>120</v>
      </c>
      <c r="S27" s="5">
        <v>45418</v>
      </c>
      <c r="T27">
        <v>16.932784000000002</v>
      </c>
      <c r="U27">
        <v>85.553496999999993</v>
      </c>
      <c r="V27">
        <v>0.59</v>
      </c>
      <c r="W27" t="s">
        <v>30</v>
      </c>
      <c r="X27">
        <v>106</v>
      </c>
      <c r="Y27" t="s">
        <v>62</v>
      </c>
      <c r="Z27" t="s">
        <v>82</v>
      </c>
    </row>
    <row r="28" spans="1:26" x14ac:dyDescent="0.35">
      <c r="A28" t="s">
        <v>121</v>
      </c>
      <c r="B28" t="s">
        <v>1</v>
      </c>
      <c r="C28" t="s">
        <v>11</v>
      </c>
      <c r="D28">
        <v>12.71</v>
      </c>
      <c r="E28">
        <v>6.07</v>
      </c>
      <c r="F28">
        <v>20.43</v>
      </c>
      <c r="G28">
        <v>129.93</v>
      </c>
      <c r="H28">
        <v>67.010000000000005</v>
      </c>
      <c r="I28">
        <v>4.83</v>
      </c>
      <c r="J28" t="s">
        <v>65</v>
      </c>
      <c r="K28" t="s">
        <v>19</v>
      </c>
      <c r="L28">
        <v>36.229999999999997</v>
      </c>
      <c r="M28" s="5">
        <v>45358</v>
      </c>
      <c r="N28" s="5">
        <v>45452</v>
      </c>
      <c r="O28" s="5" t="str">
        <f>TEXT(Table1[[#This Row],[harvest_date]],"mmmm")</f>
        <v>June</v>
      </c>
      <c r="P28">
        <v>94</v>
      </c>
      <c r="Q28">
        <v>3659.47</v>
      </c>
      <c r="R28" t="s">
        <v>122</v>
      </c>
      <c r="S28" s="5">
        <v>45400</v>
      </c>
      <c r="T28">
        <v>23.565279</v>
      </c>
      <c r="U28">
        <v>78.315484999999995</v>
      </c>
      <c r="V28">
        <v>0.42</v>
      </c>
      <c r="W28" t="s">
        <v>33</v>
      </c>
      <c r="X28">
        <v>94</v>
      </c>
      <c r="Y28" t="s">
        <v>62</v>
      </c>
      <c r="Z28" t="s">
        <v>72</v>
      </c>
    </row>
    <row r="29" spans="1:26" x14ac:dyDescent="0.35">
      <c r="A29" t="s">
        <v>123</v>
      </c>
      <c r="B29" t="s">
        <v>5</v>
      </c>
      <c r="C29" t="s">
        <v>12</v>
      </c>
      <c r="D29">
        <v>43.11</v>
      </c>
      <c r="E29">
        <v>5.54</v>
      </c>
      <c r="F29">
        <v>32.61</v>
      </c>
      <c r="G29">
        <v>193.92</v>
      </c>
      <c r="H29">
        <v>63.85</v>
      </c>
      <c r="I29">
        <v>9.66</v>
      </c>
      <c r="J29" t="s">
        <v>80</v>
      </c>
      <c r="K29" t="s">
        <v>19</v>
      </c>
      <c r="L29">
        <v>43.41</v>
      </c>
      <c r="M29" s="5">
        <v>45340</v>
      </c>
      <c r="N29" s="5">
        <v>45477</v>
      </c>
      <c r="O29" s="5" t="str">
        <f>TEXT(Table1[[#This Row],[harvest_date]],"mmmm")</f>
        <v>July</v>
      </c>
      <c r="P29">
        <v>137</v>
      </c>
      <c r="Q29">
        <v>4938.54</v>
      </c>
      <c r="R29" t="s">
        <v>124</v>
      </c>
      <c r="S29" s="5">
        <v>45396</v>
      </c>
      <c r="T29">
        <v>22.205736999999999</v>
      </c>
      <c r="U29">
        <v>75.458706000000006</v>
      </c>
      <c r="V29">
        <v>0.59</v>
      </c>
      <c r="W29" t="s">
        <v>33</v>
      </c>
      <c r="X29">
        <v>137</v>
      </c>
      <c r="Y29" t="s">
        <v>62</v>
      </c>
      <c r="Z29" t="s">
        <v>82</v>
      </c>
    </row>
    <row r="30" spans="1:26" x14ac:dyDescent="0.35">
      <c r="A30" t="s">
        <v>125</v>
      </c>
      <c r="B30" t="s">
        <v>1</v>
      </c>
      <c r="C30" t="s">
        <v>11</v>
      </c>
      <c r="D30">
        <v>35.35</v>
      </c>
      <c r="E30">
        <v>7.18</v>
      </c>
      <c r="F30">
        <v>33.39</v>
      </c>
      <c r="G30">
        <v>295.18</v>
      </c>
      <c r="H30">
        <v>66.709999999999994</v>
      </c>
      <c r="I30">
        <v>9.44</v>
      </c>
      <c r="J30" t="s">
        <v>69</v>
      </c>
      <c r="K30" t="s">
        <v>18</v>
      </c>
      <c r="L30">
        <v>33.92</v>
      </c>
      <c r="M30" s="5">
        <v>45319</v>
      </c>
      <c r="N30" s="5">
        <v>45438</v>
      </c>
      <c r="O30" s="5" t="str">
        <f>TEXT(Table1[[#This Row],[harvest_date]],"mmmm")</f>
        <v>May</v>
      </c>
      <c r="P30">
        <v>119</v>
      </c>
      <c r="Q30">
        <v>2726.92</v>
      </c>
      <c r="R30" t="s">
        <v>126</v>
      </c>
      <c r="S30" s="5">
        <v>45352</v>
      </c>
      <c r="T30">
        <v>19.477596999999999</v>
      </c>
      <c r="U30">
        <v>74.233205999999996</v>
      </c>
      <c r="V30">
        <v>0.5</v>
      </c>
      <c r="W30" t="s">
        <v>33</v>
      </c>
      <c r="X30">
        <v>119</v>
      </c>
      <c r="Y30" t="s">
        <v>71</v>
      </c>
      <c r="Z30" t="s">
        <v>72</v>
      </c>
    </row>
    <row r="31" spans="1:26" x14ac:dyDescent="0.35">
      <c r="A31" t="s">
        <v>127</v>
      </c>
      <c r="B31" t="s">
        <v>1</v>
      </c>
      <c r="C31" t="s">
        <v>11</v>
      </c>
      <c r="D31">
        <v>18.829999999999998</v>
      </c>
      <c r="E31">
        <v>5.66</v>
      </c>
      <c r="F31">
        <v>15.39</v>
      </c>
      <c r="G31">
        <v>184.85</v>
      </c>
      <c r="H31">
        <v>90</v>
      </c>
      <c r="I31">
        <v>6.1</v>
      </c>
      <c r="J31" t="s">
        <v>69</v>
      </c>
      <c r="K31" t="s">
        <v>17</v>
      </c>
      <c r="L31">
        <v>6.81</v>
      </c>
      <c r="M31" s="5">
        <v>45299</v>
      </c>
      <c r="N31" s="5">
        <v>45401</v>
      </c>
      <c r="O31" s="5" t="str">
        <f>TEXT(Table1[[#This Row],[harvest_date]],"mmmm")</f>
        <v>April</v>
      </c>
      <c r="P31">
        <v>102</v>
      </c>
      <c r="Q31">
        <v>5356.92</v>
      </c>
      <c r="R31" t="s">
        <v>128</v>
      </c>
      <c r="S31" s="5">
        <v>45378</v>
      </c>
      <c r="T31">
        <v>13.809559</v>
      </c>
      <c r="U31">
        <v>72.524418999999995</v>
      </c>
      <c r="V31">
        <v>0.7</v>
      </c>
      <c r="W31" t="s">
        <v>30</v>
      </c>
      <c r="X31">
        <v>102</v>
      </c>
      <c r="Y31" t="s">
        <v>67</v>
      </c>
      <c r="Z31" t="s">
        <v>63</v>
      </c>
    </row>
    <row r="32" spans="1:26" x14ac:dyDescent="0.35">
      <c r="A32" t="s">
        <v>129</v>
      </c>
      <c r="B32" t="s">
        <v>5</v>
      </c>
      <c r="C32" t="s">
        <v>14</v>
      </c>
      <c r="D32">
        <v>36.840000000000003</v>
      </c>
      <c r="E32">
        <v>5.84</v>
      </c>
      <c r="F32">
        <v>27.14</v>
      </c>
      <c r="G32">
        <v>236.98</v>
      </c>
      <c r="H32">
        <v>45.73</v>
      </c>
      <c r="I32">
        <v>8.92</v>
      </c>
      <c r="J32" t="s">
        <v>80</v>
      </c>
      <c r="K32" t="s">
        <v>18</v>
      </c>
      <c r="L32">
        <v>31.04</v>
      </c>
      <c r="M32" s="5">
        <v>45341</v>
      </c>
      <c r="N32" s="5">
        <v>45474</v>
      </c>
      <c r="O32" s="5" t="str">
        <f>TEXT(Table1[[#This Row],[harvest_date]],"mmmm")</f>
        <v>July</v>
      </c>
      <c r="P32">
        <v>133</v>
      </c>
      <c r="Q32">
        <v>5632.1</v>
      </c>
      <c r="R32" t="s">
        <v>130</v>
      </c>
      <c r="S32" s="5">
        <v>45437</v>
      </c>
      <c r="T32">
        <v>19.916360999999998</v>
      </c>
      <c r="U32">
        <v>84.300293999999994</v>
      </c>
      <c r="V32">
        <v>0.35</v>
      </c>
      <c r="W32" t="s">
        <v>30</v>
      </c>
      <c r="X32">
        <v>133</v>
      </c>
      <c r="Y32" t="s">
        <v>67</v>
      </c>
      <c r="Z32" t="s">
        <v>72</v>
      </c>
    </row>
    <row r="33" spans="1:26" x14ac:dyDescent="0.35">
      <c r="A33" t="s">
        <v>131</v>
      </c>
      <c r="B33" t="s">
        <v>3</v>
      </c>
      <c r="C33" t="s">
        <v>14</v>
      </c>
      <c r="D33">
        <v>39.76</v>
      </c>
      <c r="E33">
        <v>6.7</v>
      </c>
      <c r="F33">
        <v>17.420000000000002</v>
      </c>
      <c r="G33">
        <v>295.95999999999998</v>
      </c>
      <c r="H33">
        <v>79.13</v>
      </c>
      <c r="I33">
        <v>6.08</v>
      </c>
      <c r="J33" t="s">
        <v>32</v>
      </c>
      <c r="K33" t="s">
        <v>17</v>
      </c>
      <c r="L33">
        <v>21.68</v>
      </c>
      <c r="M33" s="5">
        <v>45372</v>
      </c>
      <c r="N33" s="5">
        <v>45483</v>
      </c>
      <c r="O33" s="5" t="str">
        <f>TEXT(Table1[[#This Row],[harvest_date]],"mmmm")</f>
        <v>July</v>
      </c>
      <c r="P33">
        <v>111</v>
      </c>
      <c r="Q33">
        <v>2050.61</v>
      </c>
      <c r="R33" t="s">
        <v>132</v>
      </c>
      <c r="S33" s="5">
        <v>45425</v>
      </c>
      <c r="T33">
        <v>30.558273</v>
      </c>
      <c r="U33">
        <v>72.110776999999999</v>
      </c>
      <c r="V33">
        <v>0.88</v>
      </c>
      <c r="W33" t="s">
        <v>33</v>
      </c>
      <c r="X33">
        <v>111</v>
      </c>
      <c r="Y33" t="s">
        <v>71</v>
      </c>
      <c r="Z33" t="s">
        <v>72</v>
      </c>
    </row>
    <row r="34" spans="1:26" x14ac:dyDescent="0.35">
      <c r="A34" t="s">
        <v>133</v>
      </c>
      <c r="B34" t="s">
        <v>4</v>
      </c>
      <c r="C34" t="s">
        <v>11</v>
      </c>
      <c r="D34">
        <v>16.16</v>
      </c>
      <c r="E34">
        <v>6.54</v>
      </c>
      <c r="F34">
        <v>28.01</v>
      </c>
      <c r="G34">
        <v>203.98</v>
      </c>
      <c r="H34">
        <v>85.98</v>
      </c>
      <c r="I34">
        <v>8.65</v>
      </c>
      <c r="J34" t="s">
        <v>32</v>
      </c>
      <c r="K34" t="s">
        <v>19</v>
      </c>
      <c r="L34">
        <v>42.16</v>
      </c>
      <c r="M34" s="5">
        <v>45360</v>
      </c>
      <c r="N34" s="5">
        <v>45470</v>
      </c>
      <c r="O34" s="5" t="str">
        <f>TEXT(Table1[[#This Row],[harvest_date]],"mmmm")</f>
        <v>June</v>
      </c>
      <c r="P34">
        <v>110</v>
      </c>
      <c r="Q34">
        <v>5406.85</v>
      </c>
      <c r="R34" t="s">
        <v>134</v>
      </c>
      <c r="S34" s="5">
        <v>45466</v>
      </c>
      <c r="T34">
        <v>33.365546999999999</v>
      </c>
      <c r="U34">
        <v>75.578564999999998</v>
      </c>
      <c r="V34">
        <v>0.56999999999999995</v>
      </c>
      <c r="W34" t="s">
        <v>33</v>
      </c>
      <c r="X34">
        <v>110</v>
      </c>
      <c r="Y34" t="s">
        <v>67</v>
      </c>
      <c r="Z34" t="s">
        <v>82</v>
      </c>
    </row>
    <row r="35" spans="1:26" x14ac:dyDescent="0.35">
      <c r="A35" t="s">
        <v>135</v>
      </c>
      <c r="B35" t="s">
        <v>2</v>
      </c>
      <c r="C35" t="s">
        <v>12</v>
      </c>
      <c r="D35">
        <v>33.39</v>
      </c>
      <c r="E35">
        <v>6.17</v>
      </c>
      <c r="F35">
        <v>24.89</v>
      </c>
      <c r="G35">
        <v>131.25</v>
      </c>
      <c r="H35">
        <v>64.38</v>
      </c>
      <c r="I35">
        <v>6.13</v>
      </c>
      <c r="J35" t="s">
        <v>80</v>
      </c>
      <c r="K35" t="s">
        <v>19</v>
      </c>
      <c r="L35">
        <v>17.579999999999998</v>
      </c>
      <c r="M35" s="5">
        <v>45374</v>
      </c>
      <c r="N35" s="5">
        <v>45520</v>
      </c>
      <c r="O35" s="5" t="str">
        <f>TEXT(Table1[[#This Row],[harvest_date]],"mmmm")</f>
        <v>August</v>
      </c>
      <c r="P35">
        <v>146</v>
      </c>
      <c r="Q35">
        <v>3105.07</v>
      </c>
      <c r="R35" t="s">
        <v>136</v>
      </c>
      <c r="S35" s="5">
        <v>45376</v>
      </c>
      <c r="T35">
        <v>22.915680999999999</v>
      </c>
      <c r="U35">
        <v>73.821128000000002</v>
      </c>
      <c r="V35">
        <v>0.44</v>
      </c>
      <c r="W35" t="s">
        <v>33</v>
      </c>
      <c r="X35">
        <v>146</v>
      </c>
      <c r="Y35" t="s">
        <v>62</v>
      </c>
      <c r="Z35" t="s">
        <v>72</v>
      </c>
    </row>
    <row r="36" spans="1:26" x14ac:dyDescent="0.35">
      <c r="A36" t="s">
        <v>137</v>
      </c>
      <c r="B36" t="s">
        <v>5</v>
      </c>
      <c r="C36" t="s">
        <v>12</v>
      </c>
      <c r="D36">
        <v>36.54</v>
      </c>
      <c r="E36">
        <v>6.88</v>
      </c>
      <c r="F36">
        <v>27.92</v>
      </c>
      <c r="G36">
        <v>172.71</v>
      </c>
      <c r="H36">
        <v>79.650000000000006</v>
      </c>
      <c r="I36">
        <v>4.5599999999999996</v>
      </c>
      <c r="J36" t="s">
        <v>65</v>
      </c>
      <c r="K36" t="s">
        <v>19</v>
      </c>
      <c r="L36">
        <v>36.130000000000003</v>
      </c>
      <c r="M36" s="5">
        <v>45344</v>
      </c>
      <c r="N36" s="5">
        <v>45471</v>
      </c>
      <c r="O36" s="5" t="str">
        <f>TEXT(Table1[[#This Row],[harvest_date]],"mmmm")</f>
        <v>June</v>
      </c>
      <c r="P36">
        <v>127</v>
      </c>
      <c r="Q36">
        <v>3476.08</v>
      </c>
      <c r="R36" t="s">
        <v>138</v>
      </c>
      <c r="S36" s="5">
        <v>45432</v>
      </c>
      <c r="T36">
        <v>20.637595000000001</v>
      </c>
      <c r="U36">
        <v>84.918709000000007</v>
      </c>
      <c r="V36">
        <v>0.5</v>
      </c>
      <c r="W36" t="s">
        <v>33</v>
      </c>
      <c r="X36">
        <v>127</v>
      </c>
      <c r="Y36" t="s">
        <v>62</v>
      </c>
      <c r="Z36" t="s">
        <v>72</v>
      </c>
    </row>
    <row r="37" spans="1:26" x14ac:dyDescent="0.35">
      <c r="A37" t="s">
        <v>139</v>
      </c>
      <c r="B37" t="s">
        <v>1</v>
      </c>
      <c r="C37" t="s">
        <v>14</v>
      </c>
      <c r="D37">
        <v>18.8</v>
      </c>
      <c r="E37">
        <v>5.74</v>
      </c>
      <c r="F37">
        <v>18.850000000000001</v>
      </c>
      <c r="G37">
        <v>79.89</v>
      </c>
      <c r="H37">
        <v>66.790000000000006</v>
      </c>
      <c r="I37">
        <v>8.57</v>
      </c>
      <c r="J37" t="s">
        <v>65</v>
      </c>
      <c r="K37" t="s">
        <v>18</v>
      </c>
      <c r="L37">
        <v>14.74</v>
      </c>
      <c r="M37" s="5">
        <v>45331</v>
      </c>
      <c r="N37" s="5">
        <v>45467</v>
      </c>
      <c r="O37" s="5" t="str">
        <f>TEXT(Table1[[#This Row],[harvest_date]],"mmmm")</f>
        <v>June</v>
      </c>
      <c r="P37">
        <v>136</v>
      </c>
      <c r="Q37">
        <v>4358.3500000000004</v>
      </c>
      <c r="R37" t="s">
        <v>140</v>
      </c>
      <c r="S37" s="5">
        <v>45465</v>
      </c>
      <c r="T37">
        <v>24.919768999999999</v>
      </c>
      <c r="U37">
        <v>89.610213000000002</v>
      </c>
      <c r="V37">
        <v>0.8</v>
      </c>
      <c r="W37" t="s">
        <v>31</v>
      </c>
      <c r="X37">
        <v>136</v>
      </c>
      <c r="Y37" t="s">
        <v>62</v>
      </c>
      <c r="Z37" t="s">
        <v>63</v>
      </c>
    </row>
    <row r="38" spans="1:26" x14ac:dyDescent="0.35">
      <c r="A38" t="s">
        <v>141</v>
      </c>
      <c r="B38" t="s">
        <v>4</v>
      </c>
      <c r="C38" t="s">
        <v>14</v>
      </c>
      <c r="D38">
        <v>16.28</v>
      </c>
      <c r="E38">
        <v>5.53</v>
      </c>
      <c r="F38">
        <v>25.68</v>
      </c>
      <c r="G38">
        <v>118.58</v>
      </c>
      <c r="H38">
        <v>88.71</v>
      </c>
      <c r="I38">
        <v>7.32</v>
      </c>
      <c r="J38" t="s">
        <v>65</v>
      </c>
      <c r="K38" t="s">
        <v>17</v>
      </c>
      <c r="L38">
        <v>44.08</v>
      </c>
      <c r="M38" s="5">
        <v>45326</v>
      </c>
      <c r="N38" s="5">
        <v>45471</v>
      </c>
      <c r="O38" s="5" t="str">
        <f>TEXT(Table1[[#This Row],[harvest_date]],"mmmm")</f>
        <v>June</v>
      </c>
      <c r="P38">
        <v>145</v>
      </c>
      <c r="Q38">
        <v>2049.06</v>
      </c>
      <c r="R38" t="s">
        <v>142</v>
      </c>
      <c r="S38" s="5">
        <v>45398</v>
      </c>
      <c r="T38">
        <v>21.734923999999999</v>
      </c>
      <c r="U38">
        <v>78.809376</v>
      </c>
      <c r="V38">
        <v>0.41</v>
      </c>
      <c r="W38" t="s">
        <v>32</v>
      </c>
      <c r="X38">
        <v>145</v>
      </c>
      <c r="Y38" t="s">
        <v>71</v>
      </c>
      <c r="Z38" t="s">
        <v>82</v>
      </c>
    </row>
    <row r="39" spans="1:26" x14ac:dyDescent="0.35">
      <c r="A39" t="s">
        <v>143</v>
      </c>
      <c r="B39" t="s">
        <v>1</v>
      </c>
      <c r="C39" t="s">
        <v>11</v>
      </c>
      <c r="D39">
        <v>13.99</v>
      </c>
      <c r="E39">
        <v>5.63</v>
      </c>
      <c r="F39">
        <v>24.83</v>
      </c>
      <c r="G39">
        <v>194.26</v>
      </c>
      <c r="H39">
        <v>74.319999999999993</v>
      </c>
      <c r="I39">
        <v>4.91</v>
      </c>
      <c r="J39" t="s">
        <v>80</v>
      </c>
      <c r="K39" t="s">
        <v>18</v>
      </c>
      <c r="L39">
        <v>49.73</v>
      </c>
      <c r="M39" s="5">
        <v>45309</v>
      </c>
      <c r="N39" s="5">
        <v>45447</v>
      </c>
      <c r="O39" s="5" t="str">
        <f>TEXT(Table1[[#This Row],[harvest_date]],"mmmm")</f>
        <v>June</v>
      </c>
      <c r="P39">
        <v>138</v>
      </c>
      <c r="Q39">
        <v>3664.7</v>
      </c>
      <c r="R39" t="s">
        <v>144</v>
      </c>
      <c r="S39" s="5">
        <v>45366</v>
      </c>
      <c r="T39">
        <v>29.392337999999999</v>
      </c>
      <c r="U39">
        <v>77.607561000000004</v>
      </c>
      <c r="V39">
        <v>0.85</v>
      </c>
      <c r="W39" t="s">
        <v>31</v>
      </c>
      <c r="X39">
        <v>138</v>
      </c>
      <c r="Y39" t="s">
        <v>62</v>
      </c>
      <c r="Z39" t="s">
        <v>82</v>
      </c>
    </row>
    <row r="40" spans="1:26" x14ac:dyDescent="0.35">
      <c r="A40" t="s">
        <v>145</v>
      </c>
      <c r="B40" t="s">
        <v>2</v>
      </c>
      <c r="C40" t="s">
        <v>11</v>
      </c>
      <c r="D40">
        <v>20.69</v>
      </c>
      <c r="E40">
        <v>6.74</v>
      </c>
      <c r="F40">
        <v>27.19</v>
      </c>
      <c r="G40">
        <v>235.02</v>
      </c>
      <c r="H40">
        <v>87.38</v>
      </c>
      <c r="I40">
        <v>5.25</v>
      </c>
      <c r="J40" t="s">
        <v>65</v>
      </c>
      <c r="K40" t="s">
        <v>19</v>
      </c>
      <c r="L40">
        <v>34.72</v>
      </c>
      <c r="M40" s="5">
        <v>45299</v>
      </c>
      <c r="N40" s="5">
        <v>45400</v>
      </c>
      <c r="O40" s="5" t="str">
        <f>TEXT(Table1[[#This Row],[harvest_date]],"mmmm")</f>
        <v>April</v>
      </c>
      <c r="P40">
        <v>101</v>
      </c>
      <c r="Q40">
        <v>4207.97</v>
      </c>
      <c r="R40" t="s">
        <v>146</v>
      </c>
      <c r="S40" s="5">
        <v>45319</v>
      </c>
      <c r="T40">
        <v>10.066893</v>
      </c>
      <c r="U40">
        <v>79.010074000000003</v>
      </c>
      <c r="V40">
        <v>0.66</v>
      </c>
      <c r="W40" t="s">
        <v>31</v>
      </c>
      <c r="X40">
        <v>101</v>
      </c>
      <c r="Y40" t="s">
        <v>62</v>
      </c>
      <c r="Z40" t="s">
        <v>72</v>
      </c>
    </row>
    <row r="41" spans="1:26" x14ac:dyDescent="0.35">
      <c r="A41" t="s">
        <v>147</v>
      </c>
      <c r="B41" t="s">
        <v>3</v>
      </c>
      <c r="C41" t="s">
        <v>10</v>
      </c>
      <c r="D41">
        <v>20.079999999999998</v>
      </c>
      <c r="E41">
        <v>6.07</v>
      </c>
      <c r="F41">
        <v>32.19</v>
      </c>
      <c r="G41">
        <v>67.790000000000006</v>
      </c>
      <c r="H41">
        <v>51.67</v>
      </c>
      <c r="I41">
        <v>5.59</v>
      </c>
      <c r="J41" t="s">
        <v>65</v>
      </c>
      <c r="K41" t="s">
        <v>19</v>
      </c>
      <c r="L41">
        <v>10.16</v>
      </c>
      <c r="M41" s="5">
        <v>45312</v>
      </c>
      <c r="N41" s="5">
        <v>45411</v>
      </c>
      <c r="O41" s="5" t="str">
        <f>TEXT(Table1[[#This Row],[harvest_date]],"mmmm")</f>
        <v>April</v>
      </c>
      <c r="P41">
        <v>99</v>
      </c>
      <c r="Q41">
        <v>5633.65</v>
      </c>
      <c r="R41" t="s">
        <v>148</v>
      </c>
      <c r="S41" s="5">
        <v>45330</v>
      </c>
      <c r="T41">
        <v>11.785246000000001</v>
      </c>
      <c r="U41">
        <v>73.318455999999998</v>
      </c>
      <c r="V41">
        <v>0.48</v>
      </c>
      <c r="W41" t="s">
        <v>31</v>
      </c>
      <c r="X41">
        <v>99</v>
      </c>
      <c r="Y41" t="s">
        <v>67</v>
      </c>
      <c r="Z41" t="s">
        <v>63</v>
      </c>
    </row>
    <row r="42" spans="1:26" x14ac:dyDescent="0.35">
      <c r="A42" t="s">
        <v>149</v>
      </c>
      <c r="B42" t="s">
        <v>5</v>
      </c>
      <c r="C42" t="s">
        <v>13</v>
      </c>
      <c r="D42">
        <v>26.4</v>
      </c>
      <c r="E42">
        <v>6.11</v>
      </c>
      <c r="F42">
        <v>23.05</v>
      </c>
      <c r="G42">
        <v>118.06</v>
      </c>
      <c r="H42">
        <v>67</v>
      </c>
      <c r="I42">
        <v>6.63</v>
      </c>
      <c r="J42" t="s">
        <v>69</v>
      </c>
      <c r="K42" t="s">
        <v>19</v>
      </c>
      <c r="L42">
        <v>38.049999999999997</v>
      </c>
      <c r="M42" s="5">
        <v>45360</v>
      </c>
      <c r="N42" s="5">
        <v>45451</v>
      </c>
      <c r="O42" s="5" t="str">
        <f>TEXT(Table1[[#This Row],[harvest_date]],"mmmm")</f>
        <v>June</v>
      </c>
      <c r="P42">
        <v>91</v>
      </c>
      <c r="Q42">
        <v>2365.31</v>
      </c>
      <c r="R42" t="s">
        <v>150</v>
      </c>
      <c r="S42" s="5">
        <v>45446</v>
      </c>
      <c r="T42">
        <v>30.898965</v>
      </c>
      <c r="U42">
        <v>81.503981999999993</v>
      </c>
      <c r="V42">
        <v>0.87</v>
      </c>
      <c r="W42" t="s">
        <v>31</v>
      </c>
      <c r="X42">
        <v>91</v>
      </c>
      <c r="Y42" t="s">
        <v>71</v>
      </c>
      <c r="Z42" t="s">
        <v>82</v>
      </c>
    </row>
    <row r="43" spans="1:26" x14ac:dyDescent="0.35">
      <c r="A43" t="s">
        <v>151</v>
      </c>
      <c r="B43" t="s">
        <v>2</v>
      </c>
      <c r="C43" t="s">
        <v>13</v>
      </c>
      <c r="D43">
        <v>36.71</v>
      </c>
      <c r="E43">
        <v>5.85</v>
      </c>
      <c r="F43">
        <v>25.38</v>
      </c>
      <c r="G43">
        <v>160.56</v>
      </c>
      <c r="H43">
        <v>53.91</v>
      </c>
      <c r="I43">
        <v>9.98</v>
      </c>
      <c r="J43" t="s">
        <v>32</v>
      </c>
      <c r="K43" t="s">
        <v>17</v>
      </c>
      <c r="L43">
        <v>41.64</v>
      </c>
      <c r="M43" s="5">
        <v>45307</v>
      </c>
      <c r="N43" s="5">
        <v>45419</v>
      </c>
      <c r="O43" s="5" t="str">
        <f>TEXT(Table1[[#This Row],[harvest_date]],"mmmm")</f>
        <v>May</v>
      </c>
      <c r="P43">
        <v>112</v>
      </c>
      <c r="Q43">
        <v>3633.39</v>
      </c>
      <c r="R43" t="s">
        <v>152</v>
      </c>
      <c r="S43" s="5">
        <v>45348</v>
      </c>
      <c r="T43">
        <v>26.753337999999999</v>
      </c>
      <c r="U43">
        <v>87.154662000000002</v>
      </c>
      <c r="V43">
        <v>0.5</v>
      </c>
      <c r="W43" t="s">
        <v>33</v>
      </c>
      <c r="X43">
        <v>112</v>
      </c>
      <c r="Y43" t="s">
        <v>62</v>
      </c>
      <c r="Z43" t="s">
        <v>82</v>
      </c>
    </row>
    <row r="44" spans="1:26" x14ac:dyDescent="0.35">
      <c r="A44" t="s">
        <v>153</v>
      </c>
      <c r="B44" t="s">
        <v>1</v>
      </c>
      <c r="C44" t="s">
        <v>11</v>
      </c>
      <c r="D44">
        <v>38.47</v>
      </c>
      <c r="E44">
        <v>6.6</v>
      </c>
      <c r="F44">
        <v>24.1</v>
      </c>
      <c r="G44">
        <v>128.63</v>
      </c>
      <c r="H44">
        <v>56.16</v>
      </c>
      <c r="I44">
        <v>9.82</v>
      </c>
      <c r="J44" t="s">
        <v>32</v>
      </c>
      <c r="K44" t="s">
        <v>17</v>
      </c>
      <c r="L44">
        <v>42.12</v>
      </c>
      <c r="M44" s="5">
        <v>45313</v>
      </c>
      <c r="N44" s="5">
        <v>45458</v>
      </c>
      <c r="O44" s="5" t="str">
        <f>TEXT(Table1[[#This Row],[harvest_date]],"mmmm")</f>
        <v>June</v>
      </c>
      <c r="P44">
        <v>145</v>
      </c>
      <c r="Q44">
        <v>4170.37</v>
      </c>
      <c r="R44" t="s">
        <v>154</v>
      </c>
      <c r="S44" s="5">
        <v>45418</v>
      </c>
      <c r="T44">
        <v>11.355102</v>
      </c>
      <c r="U44">
        <v>80.368787999999995</v>
      </c>
      <c r="V44">
        <v>0.67</v>
      </c>
      <c r="W44" t="s">
        <v>33</v>
      </c>
      <c r="X44">
        <v>145</v>
      </c>
      <c r="Y44" t="s">
        <v>62</v>
      </c>
      <c r="Z44" t="s">
        <v>82</v>
      </c>
    </row>
    <row r="45" spans="1:26" x14ac:dyDescent="0.35">
      <c r="A45" t="s">
        <v>155</v>
      </c>
      <c r="B45" t="s">
        <v>5</v>
      </c>
      <c r="C45" t="s">
        <v>13</v>
      </c>
      <c r="D45">
        <v>17.12</v>
      </c>
      <c r="E45">
        <v>6.6</v>
      </c>
      <c r="F45">
        <v>33.549999999999997</v>
      </c>
      <c r="G45">
        <v>159.53</v>
      </c>
      <c r="H45">
        <v>74.91</v>
      </c>
      <c r="I45">
        <v>4.7300000000000004</v>
      </c>
      <c r="J45" t="s">
        <v>65</v>
      </c>
      <c r="K45" t="s">
        <v>17</v>
      </c>
      <c r="L45">
        <v>12.13</v>
      </c>
      <c r="M45" s="5">
        <v>45352</v>
      </c>
      <c r="N45" s="5">
        <v>45477</v>
      </c>
      <c r="O45" s="5" t="str">
        <f>TEXT(Table1[[#This Row],[harvest_date]],"mmmm")</f>
        <v>July</v>
      </c>
      <c r="P45">
        <v>125</v>
      </c>
      <c r="Q45">
        <v>3631.96</v>
      </c>
      <c r="R45" t="s">
        <v>156</v>
      </c>
      <c r="S45" s="5">
        <v>45380</v>
      </c>
      <c r="T45">
        <v>34.806427999999997</v>
      </c>
      <c r="U45">
        <v>88.258598000000006</v>
      </c>
      <c r="V45">
        <v>0.57999999999999996</v>
      </c>
      <c r="W45" t="s">
        <v>32</v>
      </c>
      <c r="X45">
        <v>125</v>
      </c>
      <c r="Y45" t="s">
        <v>62</v>
      </c>
      <c r="Z45" t="s">
        <v>63</v>
      </c>
    </row>
    <row r="46" spans="1:26" x14ac:dyDescent="0.35">
      <c r="A46" t="s">
        <v>157</v>
      </c>
      <c r="B46" t="s">
        <v>4</v>
      </c>
      <c r="C46" t="s">
        <v>11</v>
      </c>
      <c r="D46">
        <v>42.64</v>
      </c>
      <c r="E46">
        <v>6.08</v>
      </c>
      <c r="F46">
        <v>29.11</v>
      </c>
      <c r="G46">
        <v>153.87</v>
      </c>
      <c r="H46">
        <v>64.12</v>
      </c>
      <c r="I46">
        <v>6.83</v>
      </c>
      <c r="J46" t="s">
        <v>32</v>
      </c>
      <c r="K46" t="s">
        <v>17</v>
      </c>
      <c r="L46">
        <v>11.51</v>
      </c>
      <c r="M46" s="5">
        <v>45311</v>
      </c>
      <c r="N46" s="5">
        <v>45433</v>
      </c>
      <c r="O46" s="5" t="str">
        <f>TEXT(Table1[[#This Row],[harvest_date]],"mmmm")</f>
        <v>May</v>
      </c>
      <c r="P46">
        <v>122</v>
      </c>
      <c r="Q46">
        <v>4985.17</v>
      </c>
      <c r="R46" t="s">
        <v>158</v>
      </c>
      <c r="S46" s="5">
        <v>45328</v>
      </c>
      <c r="T46">
        <v>31.600673</v>
      </c>
      <c r="U46">
        <v>75.524947999999995</v>
      </c>
      <c r="V46">
        <v>0.77</v>
      </c>
      <c r="W46" t="s">
        <v>33</v>
      </c>
      <c r="X46">
        <v>122</v>
      </c>
      <c r="Y46" t="s">
        <v>62</v>
      </c>
      <c r="Z46" t="s">
        <v>63</v>
      </c>
    </row>
    <row r="47" spans="1:26" x14ac:dyDescent="0.35">
      <c r="A47" t="s">
        <v>159</v>
      </c>
      <c r="B47" t="s">
        <v>1</v>
      </c>
      <c r="C47" t="s">
        <v>12</v>
      </c>
      <c r="D47">
        <v>19.350000000000001</v>
      </c>
      <c r="E47">
        <v>5.51</v>
      </c>
      <c r="F47">
        <v>29.52</v>
      </c>
      <c r="G47">
        <v>259.37</v>
      </c>
      <c r="H47">
        <v>69</v>
      </c>
      <c r="I47">
        <v>7.96</v>
      </c>
      <c r="J47" t="s">
        <v>65</v>
      </c>
      <c r="K47" t="s">
        <v>19</v>
      </c>
      <c r="L47">
        <v>29.24</v>
      </c>
      <c r="M47" s="5">
        <v>45333</v>
      </c>
      <c r="N47" s="5">
        <v>45458</v>
      </c>
      <c r="O47" s="5" t="str">
        <f>TEXT(Table1[[#This Row],[harvest_date]],"mmmm")</f>
        <v>June</v>
      </c>
      <c r="P47">
        <v>125</v>
      </c>
      <c r="Q47">
        <v>5051.49</v>
      </c>
      <c r="R47" t="s">
        <v>160</v>
      </c>
      <c r="S47" s="5">
        <v>45381</v>
      </c>
      <c r="T47">
        <v>21.383614999999999</v>
      </c>
      <c r="U47">
        <v>76.435547</v>
      </c>
      <c r="V47">
        <v>0.41</v>
      </c>
      <c r="W47" t="s">
        <v>30</v>
      </c>
      <c r="X47">
        <v>125</v>
      </c>
      <c r="Y47" t="s">
        <v>62</v>
      </c>
      <c r="Z47" t="s">
        <v>72</v>
      </c>
    </row>
    <row r="48" spans="1:26" x14ac:dyDescent="0.35">
      <c r="A48" t="s">
        <v>161</v>
      </c>
      <c r="B48" t="s">
        <v>2</v>
      </c>
      <c r="C48" t="s">
        <v>11</v>
      </c>
      <c r="D48">
        <v>18.170000000000002</v>
      </c>
      <c r="E48">
        <v>7.05</v>
      </c>
      <c r="F48">
        <v>15.87</v>
      </c>
      <c r="G48">
        <v>236.18</v>
      </c>
      <c r="H48">
        <v>75.260000000000005</v>
      </c>
      <c r="I48">
        <v>8.8699999999999992</v>
      </c>
      <c r="J48" t="s">
        <v>32</v>
      </c>
      <c r="K48" t="s">
        <v>17</v>
      </c>
      <c r="L48">
        <v>40.659999999999997</v>
      </c>
      <c r="M48" s="5">
        <v>45356</v>
      </c>
      <c r="N48" s="5">
        <v>45477</v>
      </c>
      <c r="O48" s="5" t="str">
        <f>TEXT(Table1[[#This Row],[harvest_date]],"mmmm")</f>
        <v>July</v>
      </c>
      <c r="P48">
        <v>121</v>
      </c>
      <c r="Q48">
        <v>5859.3</v>
      </c>
      <c r="R48" t="s">
        <v>162</v>
      </c>
      <c r="S48" s="5">
        <v>45372</v>
      </c>
      <c r="T48">
        <v>22.557279000000001</v>
      </c>
      <c r="U48">
        <v>81.803608999999994</v>
      </c>
      <c r="V48">
        <v>0.82</v>
      </c>
      <c r="W48" t="s">
        <v>33</v>
      </c>
      <c r="X48">
        <v>121</v>
      </c>
      <c r="Y48" t="s">
        <v>67</v>
      </c>
      <c r="Z48" t="s">
        <v>82</v>
      </c>
    </row>
    <row r="49" spans="1:26" x14ac:dyDescent="0.35">
      <c r="A49" t="s">
        <v>163</v>
      </c>
      <c r="B49" t="s">
        <v>3</v>
      </c>
      <c r="C49" t="s">
        <v>12</v>
      </c>
      <c r="D49">
        <v>41.87</v>
      </c>
      <c r="E49">
        <v>5.53</v>
      </c>
      <c r="F49">
        <v>17.88</v>
      </c>
      <c r="G49">
        <v>267.73</v>
      </c>
      <c r="H49">
        <v>88.5</v>
      </c>
      <c r="I49">
        <v>4.45</v>
      </c>
      <c r="J49" t="s">
        <v>80</v>
      </c>
      <c r="K49" t="s">
        <v>19</v>
      </c>
      <c r="L49">
        <v>33.049999999999997</v>
      </c>
      <c r="M49" s="5">
        <v>45343</v>
      </c>
      <c r="N49" s="5">
        <v>45438</v>
      </c>
      <c r="O49" s="5" t="str">
        <f>TEXT(Table1[[#This Row],[harvest_date]],"mmmm")</f>
        <v>May</v>
      </c>
      <c r="P49">
        <v>95</v>
      </c>
      <c r="Q49">
        <v>5407.06</v>
      </c>
      <c r="R49" t="s">
        <v>164</v>
      </c>
      <c r="S49" s="5">
        <v>45429</v>
      </c>
      <c r="T49">
        <v>31.483554999999999</v>
      </c>
      <c r="U49">
        <v>77.600188000000003</v>
      </c>
      <c r="V49">
        <v>0.49</v>
      </c>
      <c r="W49" t="s">
        <v>33</v>
      </c>
      <c r="X49">
        <v>95</v>
      </c>
      <c r="Y49" t="s">
        <v>67</v>
      </c>
      <c r="Z49" t="s">
        <v>72</v>
      </c>
    </row>
    <row r="50" spans="1:26" x14ac:dyDescent="0.35">
      <c r="A50" t="s">
        <v>165</v>
      </c>
      <c r="B50" t="s">
        <v>2</v>
      </c>
      <c r="C50" t="s">
        <v>13</v>
      </c>
      <c r="D50">
        <v>31.61</v>
      </c>
      <c r="E50">
        <v>5.97</v>
      </c>
      <c r="F50">
        <v>28.69</v>
      </c>
      <c r="G50">
        <v>121.84</v>
      </c>
      <c r="H50">
        <v>51.37</v>
      </c>
      <c r="I50">
        <v>4.54</v>
      </c>
      <c r="J50" t="s">
        <v>69</v>
      </c>
      <c r="K50" t="s">
        <v>17</v>
      </c>
      <c r="L50">
        <v>36.68</v>
      </c>
      <c r="M50" s="5">
        <v>45306</v>
      </c>
      <c r="N50" s="5">
        <v>45406</v>
      </c>
      <c r="O50" s="5" t="str">
        <f>TEXT(Table1[[#This Row],[harvest_date]],"mmmm")</f>
        <v>April</v>
      </c>
      <c r="P50">
        <v>100</v>
      </c>
      <c r="Q50">
        <v>4776</v>
      </c>
      <c r="R50" t="s">
        <v>166</v>
      </c>
      <c r="S50" s="5">
        <v>45309</v>
      </c>
      <c r="T50">
        <v>11.149774000000001</v>
      </c>
      <c r="U50">
        <v>85.922869000000006</v>
      </c>
      <c r="V50">
        <v>0.48</v>
      </c>
      <c r="W50" t="s">
        <v>31</v>
      </c>
      <c r="X50">
        <v>100</v>
      </c>
      <c r="Y50" t="s">
        <v>62</v>
      </c>
      <c r="Z50" t="s">
        <v>72</v>
      </c>
    </row>
    <row r="51" spans="1:26" x14ac:dyDescent="0.35">
      <c r="A51" t="s">
        <v>167</v>
      </c>
      <c r="B51" t="s">
        <v>5</v>
      </c>
      <c r="C51" t="s">
        <v>10</v>
      </c>
      <c r="D51">
        <v>18.55</v>
      </c>
      <c r="E51">
        <v>6.32</v>
      </c>
      <c r="F51">
        <v>28.64</v>
      </c>
      <c r="G51">
        <v>95.01</v>
      </c>
      <c r="H51">
        <v>48.75</v>
      </c>
      <c r="I51">
        <v>7.66</v>
      </c>
      <c r="J51" t="s">
        <v>32</v>
      </c>
      <c r="K51" t="s">
        <v>17</v>
      </c>
      <c r="L51">
        <v>35.74</v>
      </c>
      <c r="M51" s="5">
        <v>45341</v>
      </c>
      <c r="N51" s="5">
        <v>45440</v>
      </c>
      <c r="O51" s="5" t="str">
        <f>TEXT(Table1[[#This Row],[harvest_date]],"mmmm")</f>
        <v>May</v>
      </c>
      <c r="P51">
        <v>99</v>
      </c>
      <c r="Q51">
        <v>2928.75</v>
      </c>
      <c r="R51" t="s">
        <v>168</v>
      </c>
      <c r="S51" s="5">
        <v>45422</v>
      </c>
      <c r="T51">
        <v>16.349433000000001</v>
      </c>
      <c r="U51">
        <v>75.106533999999996</v>
      </c>
      <c r="V51">
        <v>0.31</v>
      </c>
      <c r="W51" t="s">
        <v>33</v>
      </c>
      <c r="X51">
        <v>99</v>
      </c>
      <c r="Y51" t="s">
        <v>71</v>
      </c>
      <c r="Z51" t="s">
        <v>72</v>
      </c>
    </row>
    <row r="52" spans="1:26" x14ac:dyDescent="0.35">
      <c r="A52" t="s">
        <v>169</v>
      </c>
      <c r="B52" t="s">
        <v>1</v>
      </c>
      <c r="C52" t="s">
        <v>12</v>
      </c>
      <c r="D52">
        <v>15.53</v>
      </c>
      <c r="E52">
        <v>6.38</v>
      </c>
      <c r="F52">
        <v>21.91</v>
      </c>
      <c r="G52">
        <v>196.89</v>
      </c>
      <c r="H52">
        <v>71.95</v>
      </c>
      <c r="I52">
        <v>6.55</v>
      </c>
      <c r="J52" t="s">
        <v>80</v>
      </c>
      <c r="K52" t="s">
        <v>19</v>
      </c>
      <c r="L52">
        <v>43.04</v>
      </c>
      <c r="M52" s="5">
        <v>45304</v>
      </c>
      <c r="N52" s="5">
        <v>45448</v>
      </c>
      <c r="O52" s="5" t="str">
        <f>TEXT(Table1[[#This Row],[harvest_date]],"mmmm")</f>
        <v>June</v>
      </c>
      <c r="P52">
        <v>144</v>
      </c>
      <c r="Q52">
        <v>3932.83</v>
      </c>
      <c r="R52" t="s">
        <v>170</v>
      </c>
      <c r="S52" s="5">
        <v>45364</v>
      </c>
      <c r="T52">
        <v>19.534106999999999</v>
      </c>
      <c r="U52">
        <v>77.179182999999995</v>
      </c>
      <c r="V52">
        <v>0.48</v>
      </c>
      <c r="W52" t="s">
        <v>31</v>
      </c>
      <c r="X52">
        <v>144</v>
      </c>
      <c r="Y52" t="s">
        <v>62</v>
      </c>
      <c r="Z52" t="s">
        <v>82</v>
      </c>
    </row>
    <row r="53" spans="1:26" x14ac:dyDescent="0.35">
      <c r="A53" t="s">
        <v>171</v>
      </c>
      <c r="B53" t="s">
        <v>3</v>
      </c>
      <c r="C53" t="s">
        <v>11</v>
      </c>
      <c r="D53">
        <v>19.61</v>
      </c>
      <c r="E53">
        <v>6.63</v>
      </c>
      <c r="F53">
        <v>28.72</v>
      </c>
      <c r="G53">
        <v>236.17</v>
      </c>
      <c r="H53">
        <v>42.45</v>
      </c>
      <c r="I53">
        <v>7.64</v>
      </c>
      <c r="J53" t="s">
        <v>32</v>
      </c>
      <c r="K53" t="s">
        <v>19</v>
      </c>
      <c r="L53">
        <v>39.909999999999997</v>
      </c>
      <c r="M53" s="5">
        <v>45311</v>
      </c>
      <c r="N53" s="5">
        <v>45452</v>
      </c>
      <c r="O53" s="5" t="str">
        <f>TEXT(Table1[[#This Row],[harvest_date]],"mmmm")</f>
        <v>June</v>
      </c>
      <c r="P53">
        <v>141</v>
      </c>
      <c r="Q53">
        <v>3409.28</v>
      </c>
      <c r="R53" t="s">
        <v>172</v>
      </c>
      <c r="S53" s="5">
        <v>45359</v>
      </c>
      <c r="T53">
        <v>25.522279000000001</v>
      </c>
      <c r="U53">
        <v>83.555289000000002</v>
      </c>
      <c r="V53">
        <v>0.73</v>
      </c>
      <c r="W53" t="s">
        <v>30</v>
      </c>
      <c r="X53">
        <v>141</v>
      </c>
      <c r="Y53" t="s">
        <v>62</v>
      </c>
      <c r="Z53" t="s">
        <v>82</v>
      </c>
    </row>
    <row r="54" spans="1:26" x14ac:dyDescent="0.35">
      <c r="A54" t="s">
        <v>173</v>
      </c>
      <c r="B54" t="s">
        <v>3</v>
      </c>
      <c r="C54" t="s">
        <v>13</v>
      </c>
      <c r="D54">
        <v>20.81</v>
      </c>
      <c r="E54">
        <v>6.38</v>
      </c>
      <c r="F54">
        <v>26.59</v>
      </c>
      <c r="G54">
        <v>233.09</v>
      </c>
      <c r="H54">
        <v>44.51</v>
      </c>
      <c r="I54">
        <v>5.77</v>
      </c>
      <c r="J54" t="s">
        <v>32</v>
      </c>
      <c r="K54" t="s">
        <v>18</v>
      </c>
      <c r="L54">
        <v>14.04</v>
      </c>
      <c r="M54" s="5">
        <v>45363</v>
      </c>
      <c r="N54" s="5">
        <v>45486</v>
      </c>
      <c r="O54" s="5" t="str">
        <f>TEXT(Table1[[#This Row],[harvest_date]],"mmmm")</f>
        <v>July</v>
      </c>
      <c r="P54">
        <v>123</v>
      </c>
      <c r="Q54">
        <v>4007.18</v>
      </c>
      <c r="R54" t="s">
        <v>174</v>
      </c>
      <c r="S54" s="5">
        <v>45397</v>
      </c>
      <c r="T54">
        <v>30.761814999999999</v>
      </c>
      <c r="U54">
        <v>75.139402000000004</v>
      </c>
      <c r="V54">
        <v>0.79</v>
      </c>
      <c r="W54" t="s">
        <v>33</v>
      </c>
      <c r="X54">
        <v>123</v>
      </c>
      <c r="Y54" t="s">
        <v>62</v>
      </c>
      <c r="Z54" t="s">
        <v>63</v>
      </c>
    </row>
    <row r="55" spans="1:26" x14ac:dyDescent="0.35">
      <c r="A55" t="s">
        <v>175</v>
      </c>
      <c r="B55" t="s">
        <v>1</v>
      </c>
      <c r="C55" t="s">
        <v>14</v>
      </c>
      <c r="D55">
        <v>38.15</v>
      </c>
      <c r="E55">
        <v>6.44</v>
      </c>
      <c r="F55">
        <v>16.510000000000002</v>
      </c>
      <c r="G55">
        <v>238.54</v>
      </c>
      <c r="H55">
        <v>51.28</v>
      </c>
      <c r="I55">
        <v>8.06</v>
      </c>
      <c r="J55" t="s">
        <v>32</v>
      </c>
      <c r="K55" t="s">
        <v>17</v>
      </c>
      <c r="L55">
        <v>21.46</v>
      </c>
      <c r="M55" s="5">
        <v>45323</v>
      </c>
      <c r="N55" s="5">
        <v>45429</v>
      </c>
      <c r="O55" s="5" t="str">
        <f>TEXT(Table1[[#This Row],[harvest_date]],"mmmm")</f>
        <v>May</v>
      </c>
      <c r="P55">
        <v>106</v>
      </c>
      <c r="Q55">
        <v>4146.29</v>
      </c>
      <c r="R55" t="s">
        <v>176</v>
      </c>
      <c r="S55" s="5">
        <v>45381</v>
      </c>
      <c r="T55">
        <v>19.214641</v>
      </c>
      <c r="U55">
        <v>84.980232000000001</v>
      </c>
      <c r="V55">
        <v>0.46</v>
      </c>
      <c r="W55" t="s">
        <v>33</v>
      </c>
      <c r="X55">
        <v>106</v>
      </c>
      <c r="Y55" t="s">
        <v>62</v>
      </c>
      <c r="Z55" t="s">
        <v>72</v>
      </c>
    </row>
    <row r="56" spans="1:26" x14ac:dyDescent="0.35">
      <c r="A56" t="s">
        <v>177</v>
      </c>
      <c r="B56" t="s">
        <v>1</v>
      </c>
      <c r="C56" t="s">
        <v>13</v>
      </c>
      <c r="D56">
        <v>33.619999999999997</v>
      </c>
      <c r="E56">
        <v>6.44</v>
      </c>
      <c r="F56">
        <v>27.39</v>
      </c>
      <c r="G56">
        <v>285.79000000000002</v>
      </c>
      <c r="H56">
        <v>56.4</v>
      </c>
      <c r="I56">
        <v>7.66</v>
      </c>
      <c r="J56" t="s">
        <v>69</v>
      </c>
      <c r="K56" t="s">
        <v>17</v>
      </c>
      <c r="L56">
        <v>42.07</v>
      </c>
      <c r="M56" s="5">
        <v>45361</v>
      </c>
      <c r="N56" s="5">
        <v>45492</v>
      </c>
      <c r="O56" s="5" t="str">
        <f>TEXT(Table1[[#This Row],[harvest_date]],"mmmm")</f>
        <v>July</v>
      </c>
      <c r="P56">
        <v>131</v>
      </c>
      <c r="Q56">
        <v>3633.18</v>
      </c>
      <c r="R56" t="s">
        <v>178</v>
      </c>
      <c r="S56" s="5">
        <v>45396</v>
      </c>
      <c r="T56">
        <v>11.13367</v>
      </c>
      <c r="U56">
        <v>70.744242999999997</v>
      </c>
      <c r="V56">
        <v>0.9</v>
      </c>
      <c r="W56" t="s">
        <v>32</v>
      </c>
      <c r="X56">
        <v>131</v>
      </c>
      <c r="Y56" t="s">
        <v>62</v>
      </c>
      <c r="Z56" t="s">
        <v>82</v>
      </c>
    </row>
    <row r="57" spans="1:26" x14ac:dyDescent="0.35">
      <c r="A57" t="s">
        <v>179</v>
      </c>
      <c r="B57" t="s">
        <v>3</v>
      </c>
      <c r="C57" t="s">
        <v>10</v>
      </c>
      <c r="D57">
        <v>41.05</v>
      </c>
      <c r="E57">
        <v>5.77</v>
      </c>
      <c r="F57">
        <v>24.07</v>
      </c>
      <c r="G57">
        <v>217.62</v>
      </c>
      <c r="H57">
        <v>77.16</v>
      </c>
      <c r="I57">
        <v>9.68</v>
      </c>
      <c r="J57" t="s">
        <v>32</v>
      </c>
      <c r="K57" t="s">
        <v>17</v>
      </c>
      <c r="L57">
        <v>38.4</v>
      </c>
      <c r="M57" s="5">
        <v>45305</v>
      </c>
      <c r="N57" s="5">
        <v>45436</v>
      </c>
      <c r="O57" s="5" t="str">
        <f>TEXT(Table1[[#This Row],[harvest_date]],"mmmm")</f>
        <v>May</v>
      </c>
      <c r="P57">
        <v>131</v>
      </c>
      <c r="Q57">
        <v>2396.09</v>
      </c>
      <c r="R57" t="s">
        <v>180</v>
      </c>
      <c r="S57" s="5">
        <v>45430</v>
      </c>
      <c r="T57">
        <v>25.391304999999999</v>
      </c>
      <c r="U57">
        <v>88.781060999999994</v>
      </c>
      <c r="V57">
        <v>0.47</v>
      </c>
      <c r="W57" t="s">
        <v>31</v>
      </c>
      <c r="X57">
        <v>131</v>
      </c>
      <c r="Y57" t="s">
        <v>71</v>
      </c>
      <c r="Z57" t="s">
        <v>82</v>
      </c>
    </row>
    <row r="58" spans="1:26" x14ac:dyDescent="0.35">
      <c r="A58" t="s">
        <v>181</v>
      </c>
      <c r="B58" t="s">
        <v>4</v>
      </c>
      <c r="C58" t="s">
        <v>11</v>
      </c>
      <c r="D58">
        <v>25.56</v>
      </c>
      <c r="E58">
        <v>5.97</v>
      </c>
      <c r="F58">
        <v>22.25</v>
      </c>
      <c r="G58">
        <v>295.23</v>
      </c>
      <c r="H58">
        <v>58.37</v>
      </c>
      <c r="I58">
        <v>9.41</v>
      </c>
      <c r="J58" t="s">
        <v>80</v>
      </c>
      <c r="K58" t="s">
        <v>18</v>
      </c>
      <c r="L58">
        <v>22.92</v>
      </c>
      <c r="M58" s="5">
        <v>45295</v>
      </c>
      <c r="N58" s="5">
        <v>45445</v>
      </c>
      <c r="O58" s="5" t="str">
        <f>TEXT(Table1[[#This Row],[harvest_date]],"mmmm")</f>
        <v>June</v>
      </c>
      <c r="P58">
        <v>150</v>
      </c>
      <c r="Q58">
        <v>5392.13</v>
      </c>
      <c r="R58" t="s">
        <v>182</v>
      </c>
      <c r="S58" s="5">
        <v>45411</v>
      </c>
      <c r="T58">
        <v>12.291836</v>
      </c>
      <c r="U58">
        <v>74.242115999999996</v>
      </c>
      <c r="V58">
        <v>0.68</v>
      </c>
      <c r="W58" t="s">
        <v>32</v>
      </c>
      <c r="X58">
        <v>150</v>
      </c>
      <c r="Y58" t="s">
        <v>67</v>
      </c>
      <c r="Z58" t="s">
        <v>72</v>
      </c>
    </row>
    <row r="59" spans="1:26" x14ac:dyDescent="0.35">
      <c r="A59" t="s">
        <v>183</v>
      </c>
      <c r="B59" t="s">
        <v>3</v>
      </c>
      <c r="C59" t="s">
        <v>14</v>
      </c>
      <c r="D59">
        <v>18.52</v>
      </c>
      <c r="E59">
        <v>5.75</v>
      </c>
      <c r="F59">
        <v>26.29</v>
      </c>
      <c r="G59">
        <v>67.150000000000006</v>
      </c>
      <c r="H59">
        <v>78.260000000000005</v>
      </c>
      <c r="I59">
        <v>5.24</v>
      </c>
      <c r="J59" t="s">
        <v>65</v>
      </c>
      <c r="K59" t="s">
        <v>18</v>
      </c>
      <c r="L59">
        <v>19.79</v>
      </c>
      <c r="M59" s="5">
        <v>45317</v>
      </c>
      <c r="N59" s="5">
        <v>45464</v>
      </c>
      <c r="O59" s="5" t="str">
        <f>TEXT(Table1[[#This Row],[harvest_date]],"mmmm")</f>
        <v>June</v>
      </c>
      <c r="P59">
        <v>147</v>
      </c>
      <c r="Q59">
        <v>4383.93</v>
      </c>
      <c r="R59" t="s">
        <v>184</v>
      </c>
      <c r="S59" s="5">
        <v>45387</v>
      </c>
      <c r="T59">
        <v>31.460152999999998</v>
      </c>
      <c r="U59">
        <v>72.89376</v>
      </c>
      <c r="V59">
        <v>0.38</v>
      </c>
      <c r="W59" t="s">
        <v>31</v>
      </c>
      <c r="X59">
        <v>147</v>
      </c>
      <c r="Y59" t="s">
        <v>62</v>
      </c>
      <c r="Z59" t="s">
        <v>72</v>
      </c>
    </row>
    <row r="60" spans="1:26" x14ac:dyDescent="0.35">
      <c r="A60" t="s">
        <v>185</v>
      </c>
      <c r="B60" t="s">
        <v>4</v>
      </c>
      <c r="C60" t="s">
        <v>13</v>
      </c>
      <c r="D60">
        <v>33.14</v>
      </c>
      <c r="E60">
        <v>5.55</v>
      </c>
      <c r="F60">
        <v>15.3</v>
      </c>
      <c r="G60">
        <v>247.5</v>
      </c>
      <c r="H60">
        <v>51.9</v>
      </c>
      <c r="I60">
        <v>5.94</v>
      </c>
      <c r="J60" t="s">
        <v>65</v>
      </c>
      <c r="K60" t="s">
        <v>19</v>
      </c>
      <c r="L60">
        <v>7.36</v>
      </c>
      <c r="M60" s="5">
        <v>45365</v>
      </c>
      <c r="N60" s="5">
        <v>45488</v>
      </c>
      <c r="O60" s="5" t="str">
        <f>TEXT(Table1[[#This Row],[harvest_date]],"mmmm")</f>
        <v>July</v>
      </c>
      <c r="P60">
        <v>123</v>
      </c>
      <c r="Q60">
        <v>2454.6</v>
      </c>
      <c r="R60" t="s">
        <v>186</v>
      </c>
      <c r="S60" s="5">
        <v>45373</v>
      </c>
      <c r="T60">
        <v>21.906148999999999</v>
      </c>
      <c r="U60">
        <v>85.560340999999994</v>
      </c>
      <c r="V60">
        <v>0.61</v>
      </c>
      <c r="W60" t="s">
        <v>32</v>
      </c>
      <c r="X60">
        <v>123</v>
      </c>
      <c r="Y60" t="s">
        <v>71</v>
      </c>
      <c r="Z60" t="s">
        <v>63</v>
      </c>
    </row>
    <row r="61" spans="1:26" x14ac:dyDescent="0.35">
      <c r="A61" t="s">
        <v>187</v>
      </c>
      <c r="B61" t="s">
        <v>5</v>
      </c>
      <c r="C61" t="s">
        <v>12</v>
      </c>
      <c r="D61">
        <v>17.75</v>
      </c>
      <c r="E61">
        <v>6.73</v>
      </c>
      <c r="F61">
        <v>29.54</v>
      </c>
      <c r="G61">
        <v>277.19</v>
      </c>
      <c r="H61">
        <v>72.95</v>
      </c>
      <c r="I61">
        <v>5.81</v>
      </c>
      <c r="J61" t="s">
        <v>69</v>
      </c>
      <c r="K61" t="s">
        <v>18</v>
      </c>
      <c r="L61">
        <v>49.94</v>
      </c>
      <c r="M61" s="5">
        <v>45336</v>
      </c>
      <c r="N61" s="5">
        <v>45469</v>
      </c>
      <c r="O61" s="5" t="str">
        <f>TEXT(Table1[[#This Row],[harvest_date]],"mmmm")</f>
        <v>June</v>
      </c>
      <c r="P61">
        <v>133</v>
      </c>
      <c r="Q61">
        <v>2431.85</v>
      </c>
      <c r="R61" t="s">
        <v>188</v>
      </c>
      <c r="S61" s="5">
        <v>45449</v>
      </c>
      <c r="T61">
        <v>11.837268</v>
      </c>
      <c r="U61">
        <v>71.615809999999996</v>
      </c>
      <c r="V61">
        <v>0.66</v>
      </c>
      <c r="W61" t="s">
        <v>32</v>
      </c>
      <c r="X61">
        <v>133</v>
      </c>
      <c r="Y61" t="s">
        <v>71</v>
      </c>
      <c r="Z61" t="s">
        <v>82</v>
      </c>
    </row>
    <row r="62" spans="1:26" x14ac:dyDescent="0.35">
      <c r="A62" t="s">
        <v>189</v>
      </c>
      <c r="B62" t="s">
        <v>4</v>
      </c>
      <c r="C62" t="s">
        <v>14</v>
      </c>
      <c r="D62">
        <v>31.85</v>
      </c>
      <c r="E62">
        <v>6.67</v>
      </c>
      <c r="F62">
        <v>29.24</v>
      </c>
      <c r="G62">
        <v>145.22999999999999</v>
      </c>
      <c r="H62">
        <v>69.87</v>
      </c>
      <c r="I62">
        <v>5.77</v>
      </c>
      <c r="J62" t="s">
        <v>32</v>
      </c>
      <c r="K62" t="s">
        <v>18</v>
      </c>
      <c r="L62">
        <v>40.69</v>
      </c>
      <c r="M62" s="5">
        <v>45319</v>
      </c>
      <c r="N62" s="5">
        <v>45450</v>
      </c>
      <c r="O62" s="5" t="str">
        <f>TEXT(Table1[[#This Row],[harvest_date]],"mmmm")</f>
        <v>June</v>
      </c>
      <c r="P62">
        <v>131</v>
      </c>
      <c r="Q62">
        <v>4603.67</v>
      </c>
      <c r="R62" t="s">
        <v>190</v>
      </c>
      <c r="S62" s="5">
        <v>45374</v>
      </c>
      <c r="T62">
        <v>20.751749</v>
      </c>
      <c r="U62">
        <v>87.76182</v>
      </c>
      <c r="V62">
        <v>0.55000000000000004</v>
      </c>
      <c r="W62" t="s">
        <v>33</v>
      </c>
      <c r="X62">
        <v>131</v>
      </c>
      <c r="Y62" t="s">
        <v>62</v>
      </c>
      <c r="Z62" t="s">
        <v>82</v>
      </c>
    </row>
    <row r="63" spans="1:26" x14ac:dyDescent="0.35">
      <c r="A63" t="s">
        <v>191</v>
      </c>
      <c r="B63" t="s">
        <v>5</v>
      </c>
      <c r="C63" t="s">
        <v>11</v>
      </c>
      <c r="D63">
        <v>35.54</v>
      </c>
      <c r="E63">
        <v>6.13</v>
      </c>
      <c r="F63">
        <v>21.25</v>
      </c>
      <c r="G63">
        <v>113.72</v>
      </c>
      <c r="H63">
        <v>87.68</v>
      </c>
      <c r="I63">
        <v>8.1199999999999992</v>
      </c>
      <c r="J63" t="s">
        <v>32</v>
      </c>
      <c r="K63" t="s">
        <v>18</v>
      </c>
      <c r="L63">
        <v>9.11</v>
      </c>
      <c r="M63" s="5">
        <v>45294</v>
      </c>
      <c r="N63" s="5">
        <v>45411</v>
      </c>
      <c r="O63" s="5" t="str">
        <f>TEXT(Table1[[#This Row],[harvest_date]],"mmmm")</f>
        <v>April</v>
      </c>
      <c r="P63">
        <v>117</v>
      </c>
      <c r="Q63">
        <v>2386.2600000000002</v>
      </c>
      <c r="R63" t="s">
        <v>192</v>
      </c>
      <c r="S63" s="5">
        <v>45388</v>
      </c>
      <c r="T63">
        <v>19.316171000000001</v>
      </c>
      <c r="U63">
        <v>72.602309000000005</v>
      </c>
      <c r="V63">
        <v>0.34</v>
      </c>
      <c r="W63" t="s">
        <v>31</v>
      </c>
      <c r="X63">
        <v>117</v>
      </c>
      <c r="Y63" t="s">
        <v>71</v>
      </c>
      <c r="Z63" t="s">
        <v>63</v>
      </c>
    </row>
    <row r="64" spans="1:26" x14ac:dyDescent="0.35">
      <c r="A64" t="s">
        <v>193</v>
      </c>
      <c r="B64" t="s">
        <v>3</v>
      </c>
      <c r="C64" t="s">
        <v>11</v>
      </c>
      <c r="D64">
        <v>22.38</v>
      </c>
      <c r="E64">
        <v>6.83</v>
      </c>
      <c r="F64">
        <v>30.01</v>
      </c>
      <c r="G64">
        <v>267.02</v>
      </c>
      <c r="H64">
        <v>76.05</v>
      </c>
      <c r="I64">
        <v>9.81</v>
      </c>
      <c r="J64" t="s">
        <v>80</v>
      </c>
      <c r="K64" t="s">
        <v>19</v>
      </c>
      <c r="L64">
        <v>9.66</v>
      </c>
      <c r="M64" s="5">
        <v>45358</v>
      </c>
      <c r="N64" s="5">
        <v>45457</v>
      </c>
      <c r="O64" s="5" t="str">
        <f>TEXT(Table1[[#This Row],[harvest_date]],"mmmm")</f>
        <v>June</v>
      </c>
      <c r="P64">
        <v>99</v>
      </c>
      <c r="Q64">
        <v>4626.95</v>
      </c>
      <c r="R64" t="s">
        <v>194</v>
      </c>
      <c r="S64" s="5">
        <v>45386</v>
      </c>
      <c r="T64">
        <v>31.181871000000001</v>
      </c>
      <c r="U64">
        <v>77.002279999999999</v>
      </c>
      <c r="V64">
        <v>0.63</v>
      </c>
      <c r="W64" t="s">
        <v>32</v>
      </c>
      <c r="X64">
        <v>99</v>
      </c>
      <c r="Y64" t="s">
        <v>62</v>
      </c>
      <c r="Z64" t="s">
        <v>63</v>
      </c>
    </row>
    <row r="65" spans="1:26" x14ac:dyDescent="0.35">
      <c r="A65" t="s">
        <v>195</v>
      </c>
      <c r="B65" t="s">
        <v>1</v>
      </c>
      <c r="C65" t="s">
        <v>12</v>
      </c>
      <c r="D65">
        <v>17.920000000000002</v>
      </c>
      <c r="E65">
        <v>6.36</v>
      </c>
      <c r="F65">
        <v>26.22</v>
      </c>
      <c r="G65">
        <v>241.86</v>
      </c>
      <c r="H65">
        <v>71.09</v>
      </c>
      <c r="I65">
        <v>8.0500000000000007</v>
      </c>
      <c r="J65" t="s">
        <v>69</v>
      </c>
      <c r="K65" t="s">
        <v>17</v>
      </c>
      <c r="L65">
        <v>46.81</v>
      </c>
      <c r="M65" s="5">
        <v>45360</v>
      </c>
      <c r="N65" s="5">
        <v>45451</v>
      </c>
      <c r="O65" s="5" t="str">
        <f>TEXT(Table1[[#This Row],[harvest_date]],"mmmm")</f>
        <v>June</v>
      </c>
      <c r="P65">
        <v>91</v>
      </c>
      <c r="Q65">
        <v>2721.66</v>
      </c>
      <c r="R65" t="s">
        <v>196</v>
      </c>
      <c r="S65" s="5">
        <v>45449</v>
      </c>
      <c r="T65">
        <v>29.060237999999998</v>
      </c>
      <c r="U65">
        <v>88.430750000000003</v>
      </c>
      <c r="V65">
        <v>0.51</v>
      </c>
      <c r="W65" t="s">
        <v>30</v>
      </c>
      <c r="X65">
        <v>91</v>
      </c>
      <c r="Y65" t="s">
        <v>71</v>
      </c>
      <c r="Z65" t="s">
        <v>82</v>
      </c>
    </row>
    <row r="66" spans="1:26" x14ac:dyDescent="0.35">
      <c r="A66" t="s">
        <v>197</v>
      </c>
      <c r="B66" t="s">
        <v>4</v>
      </c>
      <c r="C66" t="s">
        <v>12</v>
      </c>
      <c r="D66">
        <v>33.01</v>
      </c>
      <c r="E66">
        <v>5.64</v>
      </c>
      <c r="F66">
        <v>29.82</v>
      </c>
      <c r="G66">
        <v>292.95</v>
      </c>
      <c r="H66">
        <v>44.59</v>
      </c>
      <c r="I66">
        <v>7.18</v>
      </c>
      <c r="J66" t="s">
        <v>32</v>
      </c>
      <c r="K66" t="s">
        <v>19</v>
      </c>
      <c r="L66">
        <v>25.41</v>
      </c>
      <c r="M66" s="5">
        <v>45303</v>
      </c>
      <c r="N66" s="5">
        <v>45412</v>
      </c>
      <c r="O66" s="5" t="str">
        <f>TEXT(Table1[[#This Row],[harvest_date]],"mmmm")</f>
        <v>April</v>
      </c>
      <c r="P66">
        <v>109</v>
      </c>
      <c r="Q66">
        <v>4886.38</v>
      </c>
      <c r="R66" t="s">
        <v>198</v>
      </c>
      <c r="S66" s="5">
        <v>45402</v>
      </c>
      <c r="T66">
        <v>33.535186000000003</v>
      </c>
      <c r="U66">
        <v>81.924475000000001</v>
      </c>
      <c r="V66">
        <v>0.83</v>
      </c>
      <c r="W66" t="s">
        <v>30</v>
      </c>
      <c r="X66">
        <v>109</v>
      </c>
      <c r="Y66" t="s">
        <v>62</v>
      </c>
      <c r="Z66" t="s">
        <v>72</v>
      </c>
    </row>
    <row r="67" spans="1:26" x14ac:dyDescent="0.35">
      <c r="A67" t="s">
        <v>199</v>
      </c>
      <c r="B67" t="s">
        <v>4</v>
      </c>
      <c r="C67" t="s">
        <v>12</v>
      </c>
      <c r="D67">
        <v>11.74</v>
      </c>
      <c r="E67">
        <v>5.66</v>
      </c>
      <c r="F67">
        <v>23.86</v>
      </c>
      <c r="G67">
        <v>156</v>
      </c>
      <c r="H67">
        <v>70.349999999999994</v>
      </c>
      <c r="I67">
        <v>6.49</v>
      </c>
      <c r="J67" t="s">
        <v>65</v>
      </c>
      <c r="K67" t="s">
        <v>17</v>
      </c>
      <c r="L67">
        <v>10.119999999999999</v>
      </c>
      <c r="M67" s="5">
        <v>45326</v>
      </c>
      <c r="N67" s="5">
        <v>45434</v>
      </c>
      <c r="O67" s="5" t="str">
        <f>TEXT(Table1[[#This Row],[harvest_date]],"mmmm")</f>
        <v>May</v>
      </c>
      <c r="P67">
        <v>108</v>
      </c>
      <c r="Q67">
        <v>4712.87</v>
      </c>
      <c r="R67" t="s">
        <v>200</v>
      </c>
      <c r="S67" s="5">
        <v>45401</v>
      </c>
      <c r="T67">
        <v>22.165818999999999</v>
      </c>
      <c r="U67">
        <v>83.342651000000004</v>
      </c>
      <c r="V67">
        <v>0.33</v>
      </c>
      <c r="W67" t="s">
        <v>33</v>
      </c>
      <c r="X67">
        <v>108</v>
      </c>
      <c r="Y67" t="s">
        <v>62</v>
      </c>
      <c r="Z67" t="s">
        <v>63</v>
      </c>
    </row>
    <row r="68" spans="1:26" x14ac:dyDescent="0.35">
      <c r="A68" t="s">
        <v>201</v>
      </c>
      <c r="B68" t="s">
        <v>2</v>
      </c>
      <c r="C68" t="s">
        <v>13</v>
      </c>
      <c r="D68">
        <v>10.27</v>
      </c>
      <c r="E68">
        <v>6.1</v>
      </c>
      <c r="F68">
        <v>19.22</v>
      </c>
      <c r="G68">
        <v>84.31</v>
      </c>
      <c r="H68">
        <v>52.78</v>
      </c>
      <c r="I68">
        <v>5.97</v>
      </c>
      <c r="J68" t="s">
        <v>69</v>
      </c>
      <c r="K68" t="s">
        <v>19</v>
      </c>
      <c r="L68">
        <v>38.619999999999997</v>
      </c>
      <c r="M68" s="5">
        <v>45296</v>
      </c>
      <c r="N68" s="5">
        <v>45410</v>
      </c>
      <c r="O68" s="5" t="str">
        <f>TEXT(Table1[[#This Row],[harvest_date]],"mmmm")</f>
        <v>April</v>
      </c>
      <c r="P68">
        <v>114</v>
      </c>
      <c r="Q68">
        <v>4130.33</v>
      </c>
      <c r="R68" t="s">
        <v>202</v>
      </c>
      <c r="S68" s="5">
        <v>45325</v>
      </c>
      <c r="T68">
        <v>22.506558999999999</v>
      </c>
      <c r="U68">
        <v>86.667084000000003</v>
      </c>
      <c r="V68">
        <v>0.78</v>
      </c>
      <c r="W68" t="s">
        <v>32</v>
      </c>
      <c r="X68">
        <v>114</v>
      </c>
      <c r="Y68" t="s">
        <v>62</v>
      </c>
      <c r="Z68" t="s">
        <v>82</v>
      </c>
    </row>
    <row r="69" spans="1:26" x14ac:dyDescent="0.35">
      <c r="A69" t="s">
        <v>203</v>
      </c>
      <c r="B69" t="s">
        <v>5</v>
      </c>
      <c r="C69" t="s">
        <v>13</v>
      </c>
      <c r="D69">
        <v>25.27</v>
      </c>
      <c r="E69">
        <v>6.42</v>
      </c>
      <c r="F69">
        <v>16.559999999999999</v>
      </c>
      <c r="G69">
        <v>128.27000000000001</v>
      </c>
      <c r="H69">
        <v>61.46</v>
      </c>
      <c r="I69">
        <v>6.43</v>
      </c>
      <c r="J69" t="s">
        <v>32</v>
      </c>
      <c r="K69" t="s">
        <v>19</v>
      </c>
      <c r="L69">
        <v>10.18</v>
      </c>
      <c r="M69" s="5">
        <v>45302</v>
      </c>
      <c r="N69" s="5">
        <v>45402</v>
      </c>
      <c r="O69" s="5" t="str">
        <f>TEXT(Table1[[#This Row],[harvest_date]],"mmmm")</f>
        <v>April</v>
      </c>
      <c r="P69">
        <v>100</v>
      </c>
      <c r="Q69">
        <v>5205.29</v>
      </c>
      <c r="R69" t="s">
        <v>204</v>
      </c>
      <c r="S69" s="5">
        <v>45381</v>
      </c>
      <c r="T69">
        <v>21.502423</v>
      </c>
      <c r="U69">
        <v>83.792201000000006</v>
      </c>
      <c r="V69">
        <v>0.52</v>
      </c>
      <c r="W69" t="s">
        <v>33</v>
      </c>
      <c r="X69">
        <v>100</v>
      </c>
      <c r="Y69" t="s">
        <v>67</v>
      </c>
      <c r="Z69" t="s">
        <v>63</v>
      </c>
    </row>
    <row r="70" spans="1:26" x14ac:dyDescent="0.35">
      <c r="A70" t="s">
        <v>205</v>
      </c>
      <c r="B70" t="s">
        <v>3</v>
      </c>
      <c r="C70" t="s">
        <v>10</v>
      </c>
      <c r="D70">
        <v>25.25</v>
      </c>
      <c r="E70">
        <v>6.3</v>
      </c>
      <c r="F70">
        <v>16.57</v>
      </c>
      <c r="G70">
        <v>267.63</v>
      </c>
      <c r="H70">
        <v>77.290000000000006</v>
      </c>
      <c r="I70">
        <v>5.33</v>
      </c>
      <c r="J70" t="s">
        <v>65</v>
      </c>
      <c r="K70" t="s">
        <v>18</v>
      </c>
      <c r="L70">
        <v>27.97</v>
      </c>
      <c r="M70" s="5">
        <v>45308</v>
      </c>
      <c r="N70" s="5">
        <v>45430</v>
      </c>
      <c r="O70" s="5" t="str">
        <f>TEXT(Table1[[#This Row],[harvest_date]],"mmmm")</f>
        <v>May</v>
      </c>
      <c r="P70">
        <v>122</v>
      </c>
      <c r="Q70">
        <v>2775.61</v>
      </c>
      <c r="R70" t="s">
        <v>206</v>
      </c>
      <c r="S70" s="5">
        <v>45407</v>
      </c>
      <c r="T70">
        <v>18.734382</v>
      </c>
      <c r="U70">
        <v>84.547582000000006</v>
      </c>
      <c r="V70">
        <v>0.79</v>
      </c>
      <c r="W70" t="s">
        <v>30</v>
      </c>
      <c r="X70">
        <v>122</v>
      </c>
      <c r="Y70" t="s">
        <v>71</v>
      </c>
      <c r="Z70" t="s">
        <v>72</v>
      </c>
    </row>
    <row r="71" spans="1:26" x14ac:dyDescent="0.35">
      <c r="A71" t="s">
        <v>207</v>
      </c>
      <c r="B71" t="s">
        <v>4</v>
      </c>
      <c r="C71" t="s">
        <v>13</v>
      </c>
      <c r="D71">
        <v>15.13</v>
      </c>
      <c r="E71">
        <v>5.89</v>
      </c>
      <c r="F71">
        <v>27.05</v>
      </c>
      <c r="G71">
        <v>240.05</v>
      </c>
      <c r="H71">
        <v>72.78</v>
      </c>
      <c r="I71">
        <v>5.0599999999999996</v>
      </c>
      <c r="J71" t="s">
        <v>32</v>
      </c>
      <c r="K71" t="s">
        <v>19</v>
      </c>
      <c r="L71">
        <v>38.950000000000003</v>
      </c>
      <c r="M71" s="5">
        <v>45366</v>
      </c>
      <c r="N71" s="5">
        <v>45499</v>
      </c>
      <c r="O71" s="5" t="str">
        <f>TEXT(Table1[[#This Row],[harvest_date]],"mmmm")</f>
        <v>July</v>
      </c>
      <c r="P71">
        <v>133</v>
      </c>
      <c r="Q71">
        <v>5696.62</v>
      </c>
      <c r="R71" t="s">
        <v>208</v>
      </c>
      <c r="S71" s="5">
        <v>45448</v>
      </c>
      <c r="T71">
        <v>31.606172000000001</v>
      </c>
      <c r="U71">
        <v>82.544347999999999</v>
      </c>
      <c r="V71">
        <v>0.39</v>
      </c>
      <c r="W71" t="s">
        <v>32</v>
      </c>
      <c r="X71">
        <v>133</v>
      </c>
      <c r="Y71" t="s">
        <v>67</v>
      </c>
      <c r="Z71" t="s">
        <v>82</v>
      </c>
    </row>
    <row r="72" spans="1:26" x14ac:dyDescent="0.35">
      <c r="A72" t="s">
        <v>209</v>
      </c>
      <c r="B72" t="s">
        <v>5</v>
      </c>
      <c r="C72" t="s">
        <v>11</v>
      </c>
      <c r="D72">
        <v>32.1</v>
      </c>
      <c r="E72">
        <v>7.09</v>
      </c>
      <c r="F72">
        <v>26.83</v>
      </c>
      <c r="G72">
        <v>137.99</v>
      </c>
      <c r="H72">
        <v>43.71</v>
      </c>
      <c r="I72">
        <v>6.77</v>
      </c>
      <c r="J72" t="s">
        <v>69</v>
      </c>
      <c r="K72" t="s">
        <v>18</v>
      </c>
      <c r="L72">
        <v>21.59</v>
      </c>
      <c r="M72" s="5">
        <v>45325</v>
      </c>
      <c r="N72" s="5">
        <v>45456</v>
      </c>
      <c r="O72" s="5" t="str">
        <f>TEXT(Table1[[#This Row],[harvest_date]],"mmmm")</f>
        <v>June</v>
      </c>
      <c r="P72">
        <v>131</v>
      </c>
      <c r="Q72">
        <v>5457</v>
      </c>
      <c r="R72" t="s">
        <v>210</v>
      </c>
      <c r="S72" s="5">
        <v>45348</v>
      </c>
      <c r="T72">
        <v>25.375209999999999</v>
      </c>
      <c r="U72">
        <v>80.141356000000002</v>
      </c>
      <c r="V72">
        <v>0.57999999999999996</v>
      </c>
      <c r="W72" t="s">
        <v>32</v>
      </c>
      <c r="X72">
        <v>131</v>
      </c>
      <c r="Y72" t="s">
        <v>67</v>
      </c>
      <c r="Z72" t="s">
        <v>72</v>
      </c>
    </row>
    <row r="73" spans="1:26" x14ac:dyDescent="0.35">
      <c r="A73" t="s">
        <v>211</v>
      </c>
      <c r="B73" t="s">
        <v>5</v>
      </c>
      <c r="C73" t="s">
        <v>12</v>
      </c>
      <c r="D73">
        <v>32.81</v>
      </c>
      <c r="E73">
        <v>6.14</v>
      </c>
      <c r="F73">
        <v>24.51</v>
      </c>
      <c r="G73">
        <v>87.72</v>
      </c>
      <c r="H73">
        <v>43.09</v>
      </c>
      <c r="I73">
        <v>4.62</v>
      </c>
      <c r="J73" t="s">
        <v>80</v>
      </c>
      <c r="K73" t="s">
        <v>17</v>
      </c>
      <c r="L73">
        <v>8.7899999999999991</v>
      </c>
      <c r="M73" s="5">
        <v>45357</v>
      </c>
      <c r="N73" s="5">
        <v>45449</v>
      </c>
      <c r="O73" s="5" t="str">
        <f>TEXT(Table1[[#This Row],[harvest_date]],"mmmm")</f>
        <v>June</v>
      </c>
      <c r="P73">
        <v>92</v>
      </c>
      <c r="Q73">
        <v>2990.97</v>
      </c>
      <c r="R73" t="s">
        <v>212</v>
      </c>
      <c r="S73" s="5">
        <v>45413</v>
      </c>
      <c r="T73">
        <v>34.774650999999999</v>
      </c>
      <c r="U73">
        <v>80.481370999999996</v>
      </c>
      <c r="V73">
        <v>0.67</v>
      </c>
      <c r="W73" t="s">
        <v>31</v>
      </c>
      <c r="X73">
        <v>92</v>
      </c>
      <c r="Y73" t="s">
        <v>71</v>
      </c>
      <c r="Z73" t="s">
        <v>63</v>
      </c>
    </row>
    <row r="74" spans="1:26" x14ac:dyDescent="0.35">
      <c r="A74" t="s">
        <v>213</v>
      </c>
      <c r="B74" t="s">
        <v>1</v>
      </c>
      <c r="C74" t="s">
        <v>14</v>
      </c>
      <c r="D74">
        <v>23.56</v>
      </c>
      <c r="E74">
        <v>7.05</v>
      </c>
      <c r="F74">
        <v>28.58</v>
      </c>
      <c r="G74">
        <v>63.09</v>
      </c>
      <c r="H74">
        <v>71.540000000000006</v>
      </c>
      <c r="I74">
        <v>6.01</v>
      </c>
      <c r="J74" t="s">
        <v>80</v>
      </c>
      <c r="K74" t="s">
        <v>18</v>
      </c>
      <c r="L74">
        <v>30.11</v>
      </c>
      <c r="M74" s="5">
        <v>45332</v>
      </c>
      <c r="N74" s="5">
        <v>45438</v>
      </c>
      <c r="O74" s="5" t="str">
        <f>TEXT(Table1[[#This Row],[harvest_date]],"mmmm")</f>
        <v>May</v>
      </c>
      <c r="P74">
        <v>106</v>
      </c>
      <c r="Q74">
        <v>4894.93</v>
      </c>
      <c r="R74" t="s">
        <v>214</v>
      </c>
      <c r="S74" s="5">
        <v>45416</v>
      </c>
      <c r="T74">
        <v>34.110250999999998</v>
      </c>
      <c r="U74">
        <v>82.054016000000004</v>
      </c>
      <c r="V74">
        <v>0.39</v>
      </c>
      <c r="W74" t="s">
        <v>32</v>
      </c>
      <c r="X74">
        <v>106</v>
      </c>
      <c r="Y74" t="s">
        <v>62</v>
      </c>
      <c r="Z74" t="s">
        <v>72</v>
      </c>
    </row>
    <row r="75" spans="1:26" x14ac:dyDescent="0.35">
      <c r="A75" t="s">
        <v>215</v>
      </c>
      <c r="B75" t="s">
        <v>2</v>
      </c>
      <c r="C75" t="s">
        <v>10</v>
      </c>
      <c r="D75">
        <v>42.09</v>
      </c>
      <c r="E75">
        <v>6.12</v>
      </c>
      <c r="F75">
        <v>28.12</v>
      </c>
      <c r="G75">
        <v>215.53</v>
      </c>
      <c r="H75">
        <v>46.45</v>
      </c>
      <c r="I75">
        <v>8.25</v>
      </c>
      <c r="J75" t="s">
        <v>69</v>
      </c>
      <c r="K75" t="s">
        <v>19</v>
      </c>
      <c r="L75">
        <v>30.15</v>
      </c>
      <c r="M75" s="5">
        <v>45377</v>
      </c>
      <c r="N75" s="5">
        <v>45488</v>
      </c>
      <c r="O75" s="5" t="str">
        <f>TEXT(Table1[[#This Row],[harvest_date]],"mmmm")</f>
        <v>July</v>
      </c>
      <c r="P75">
        <v>111</v>
      </c>
      <c r="Q75">
        <v>5252.74</v>
      </c>
      <c r="R75" t="s">
        <v>216</v>
      </c>
      <c r="S75" s="5">
        <v>45462</v>
      </c>
      <c r="T75">
        <v>27.570772000000002</v>
      </c>
      <c r="U75">
        <v>88.942171999999999</v>
      </c>
      <c r="V75">
        <v>0.9</v>
      </c>
      <c r="W75" t="s">
        <v>32</v>
      </c>
      <c r="X75">
        <v>111</v>
      </c>
      <c r="Y75" t="s">
        <v>67</v>
      </c>
      <c r="Z75" t="s">
        <v>72</v>
      </c>
    </row>
    <row r="76" spans="1:26" x14ac:dyDescent="0.35">
      <c r="A76" t="s">
        <v>217</v>
      </c>
      <c r="B76" t="s">
        <v>5</v>
      </c>
      <c r="C76" t="s">
        <v>12</v>
      </c>
      <c r="D76">
        <v>22.66</v>
      </c>
      <c r="E76">
        <v>6.23</v>
      </c>
      <c r="F76">
        <v>18.61</v>
      </c>
      <c r="G76">
        <v>103.55</v>
      </c>
      <c r="H76">
        <v>87.38</v>
      </c>
      <c r="I76">
        <v>6.92</v>
      </c>
      <c r="J76" t="s">
        <v>65</v>
      </c>
      <c r="K76" t="s">
        <v>18</v>
      </c>
      <c r="L76">
        <v>11.97</v>
      </c>
      <c r="M76" s="5">
        <v>45350</v>
      </c>
      <c r="N76" s="5">
        <v>45490</v>
      </c>
      <c r="O76" s="5" t="str">
        <f>TEXT(Table1[[#This Row],[harvest_date]],"mmmm")</f>
        <v>July</v>
      </c>
      <c r="P76">
        <v>140</v>
      </c>
      <c r="Q76">
        <v>2404.56</v>
      </c>
      <c r="R76" t="s">
        <v>218</v>
      </c>
      <c r="S76" s="5">
        <v>45488</v>
      </c>
      <c r="T76">
        <v>30.877996</v>
      </c>
      <c r="U76">
        <v>87.673642999999998</v>
      </c>
      <c r="V76">
        <v>0.32</v>
      </c>
      <c r="W76" t="s">
        <v>31</v>
      </c>
      <c r="X76">
        <v>140</v>
      </c>
      <c r="Y76" t="s">
        <v>71</v>
      </c>
      <c r="Z76" t="s">
        <v>63</v>
      </c>
    </row>
    <row r="77" spans="1:26" x14ac:dyDescent="0.35">
      <c r="A77" t="s">
        <v>219</v>
      </c>
      <c r="B77" t="s">
        <v>2</v>
      </c>
      <c r="C77" t="s">
        <v>10</v>
      </c>
      <c r="D77">
        <v>30.9</v>
      </c>
      <c r="E77">
        <v>5.81</v>
      </c>
      <c r="F77">
        <v>18.62</v>
      </c>
      <c r="G77">
        <v>223.21</v>
      </c>
      <c r="H77">
        <v>71.239999999999995</v>
      </c>
      <c r="I77">
        <v>9.42</v>
      </c>
      <c r="J77" t="s">
        <v>32</v>
      </c>
      <c r="K77" t="s">
        <v>18</v>
      </c>
      <c r="L77">
        <v>23.49</v>
      </c>
      <c r="M77" s="5">
        <v>45375</v>
      </c>
      <c r="N77" s="5">
        <v>45480</v>
      </c>
      <c r="O77" s="5" t="str">
        <f>TEXT(Table1[[#This Row],[harvest_date]],"mmmm")</f>
        <v>July</v>
      </c>
      <c r="P77">
        <v>105</v>
      </c>
      <c r="Q77">
        <v>5878.35</v>
      </c>
      <c r="R77" t="s">
        <v>220</v>
      </c>
      <c r="S77" s="5">
        <v>45453</v>
      </c>
      <c r="T77">
        <v>17.123197999999999</v>
      </c>
      <c r="U77">
        <v>84.970730000000003</v>
      </c>
      <c r="V77">
        <v>0.56999999999999995</v>
      </c>
      <c r="W77" t="s">
        <v>30</v>
      </c>
      <c r="X77">
        <v>105</v>
      </c>
      <c r="Y77" t="s">
        <v>67</v>
      </c>
      <c r="Z77" t="s">
        <v>72</v>
      </c>
    </row>
    <row r="78" spans="1:26" x14ac:dyDescent="0.35">
      <c r="A78" t="s">
        <v>221</v>
      </c>
      <c r="B78" t="s">
        <v>1</v>
      </c>
      <c r="C78" t="s">
        <v>11</v>
      </c>
      <c r="D78">
        <v>41.64</v>
      </c>
      <c r="E78">
        <v>5.89</v>
      </c>
      <c r="F78">
        <v>28.57</v>
      </c>
      <c r="G78">
        <v>192.6</v>
      </c>
      <c r="H78">
        <v>62.03</v>
      </c>
      <c r="I78">
        <v>8.6199999999999992</v>
      </c>
      <c r="J78" t="s">
        <v>32</v>
      </c>
      <c r="K78" t="s">
        <v>17</v>
      </c>
      <c r="L78">
        <v>28.74</v>
      </c>
      <c r="M78" s="5">
        <v>45318</v>
      </c>
      <c r="N78" s="5">
        <v>45420</v>
      </c>
      <c r="O78" s="5" t="str">
        <f>TEXT(Table1[[#This Row],[harvest_date]],"mmmm")</f>
        <v>May</v>
      </c>
      <c r="P78">
        <v>102</v>
      </c>
      <c r="Q78">
        <v>5205.04</v>
      </c>
      <c r="R78" t="s">
        <v>222</v>
      </c>
      <c r="S78" s="5">
        <v>45335</v>
      </c>
      <c r="T78">
        <v>31.825047999999999</v>
      </c>
      <c r="U78">
        <v>71.043595999999994</v>
      </c>
      <c r="V78">
        <v>0.59</v>
      </c>
      <c r="W78" t="s">
        <v>31</v>
      </c>
      <c r="X78">
        <v>102</v>
      </c>
      <c r="Y78" t="s">
        <v>67</v>
      </c>
      <c r="Z78" t="s">
        <v>72</v>
      </c>
    </row>
    <row r="79" spans="1:26" x14ac:dyDescent="0.35">
      <c r="A79" t="s">
        <v>223</v>
      </c>
      <c r="B79" t="s">
        <v>2</v>
      </c>
      <c r="C79" t="s">
        <v>13</v>
      </c>
      <c r="D79">
        <v>34.9</v>
      </c>
      <c r="E79">
        <v>6.53</v>
      </c>
      <c r="F79">
        <v>17.489999999999998</v>
      </c>
      <c r="G79">
        <v>70.97</v>
      </c>
      <c r="H79">
        <v>48.02</v>
      </c>
      <c r="I79">
        <v>6.7</v>
      </c>
      <c r="J79" t="s">
        <v>65</v>
      </c>
      <c r="K79" t="s">
        <v>19</v>
      </c>
      <c r="L79">
        <v>9.1300000000000008</v>
      </c>
      <c r="M79" s="5">
        <v>45318</v>
      </c>
      <c r="N79" s="5">
        <v>45436</v>
      </c>
      <c r="O79" s="5" t="str">
        <f>TEXT(Table1[[#This Row],[harvest_date]],"mmmm")</f>
        <v>May</v>
      </c>
      <c r="P79">
        <v>118</v>
      </c>
      <c r="Q79">
        <v>5538.52</v>
      </c>
      <c r="R79" t="s">
        <v>224</v>
      </c>
      <c r="S79" s="5">
        <v>45321</v>
      </c>
      <c r="T79">
        <v>20.372423000000001</v>
      </c>
      <c r="U79">
        <v>77.929079000000002</v>
      </c>
      <c r="V79">
        <v>0.52</v>
      </c>
      <c r="W79" t="s">
        <v>33</v>
      </c>
      <c r="X79">
        <v>118</v>
      </c>
      <c r="Y79" t="s">
        <v>67</v>
      </c>
      <c r="Z79" t="s">
        <v>63</v>
      </c>
    </row>
    <row r="80" spans="1:26" x14ac:dyDescent="0.35">
      <c r="A80" t="s">
        <v>225</v>
      </c>
      <c r="B80" t="s">
        <v>3</v>
      </c>
      <c r="C80" t="s">
        <v>14</v>
      </c>
      <c r="D80">
        <v>17.86</v>
      </c>
      <c r="E80">
        <v>6.14</v>
      </c>
      <c r="F80">
        <v>16.98</v>
      </c>
      <c r="G80">
        <v>228.68</v>
      </c>
      <c r="H80">
        <v>56.76</v>
      </c>
      <c r="I80">
        <v>4.88</v>
      </c>
      <c r="J80" t="s">
        <v>69</v>
      </c>
      <c r="K80" t="s">
        <v>19</v>
      </c>
      <c r="L80">
        <v>46.28</v>
      </c>
      <c r="M80" s="5">
        <v>45345</v>
      </c>
      <c r="N80" s="5">
        <v>45488</v>
      </c>
      <c r="O80" s="5" t="str">
        <f>TEXT(Table1[[#This Row],[harvest_date]],"mmmm")</f>
        <v>July</v>
      </c>
      <c r="P80">
        <v>143</v>
      </c>
      <c r="Q80">
        <v>2555.17</v>
      </c>
      <c r="R80" t="s">
        <v>226</v>
      </c>
      <c r="S80" s="5">
        <v>45465</v>
      </c>
      <c r="T80">
        <v>21.215036999999999</v>
      </c>
      <c r="U80">
        <v>70.105024</v>
      </c>
      <c r="V80">
        <v>0.35</v>
      </c>
      <c r="W80" t="s">
        <v>31</v>
      </c>
      <c r="X80">
        <v>143</v>
      </c>
      <c r="Y80" t="s">
        <v>71</v>
      </c>
      <c r="Z80" t="s">
        <v>82</v>
      </c>
    </row>
    <row r="81" spans="1:26" x14ac:dyDescent="0.35">
      <c r="A81" t="s">
        <v>227</v>
      </c>
      <c r="B81" t="s">
        <v>4</v>
      </c>
      <c r="C81" t="s">
        <v>10</v>
      </c>
      <c r="D81">
        <v>29.21</v>
      </c>
      <c r="E81">
        <v>6.95</v>
      </c>
      <c r="F81">
        <v>25.56</v>
      </c>
      <c r="G81">
        <v>77.8</v>
      </c>
      <c r="H81">
        <v>54.41</v>
      </c>
      <c r="I81">
        <v>5.81</v>
      </c>
      <c r="J81" t="s">
        <v>69</v>
      </c>
      <c r="K81" t="s">
        <v>18</v>
      </c>
      <c r="L81">
        <v>23.89</v>
      </c>
      <c r="M81" s="5">
        <v>45366</v>
      </c>
      <c r="N81" s="5">
        <v>45460</v>
      </c>
      <c r="O81" s="5" t="str">
        <f>TEXT(Table1[[#This Row],[harvest_date]],"mmmm")</f>
        <v>June</v>
      </c>
      <c r="P81">
        <v>94</v>
      </c>
      <c r="Q81">
        <v>2443.4299999999998</v>
      </c>
      <c r="R81" t="s">
        <v>228</v>
      </c>
      <c r="S81" s="5">
        <v>45429</v>
      </c>
      <c r="T81">
        <v>24.918475999999998</v>
      </c>
      <c r="U81">
        <v>70.328706999999994</v>
      </c>
      <c r="V81">
        <v>0.61</v>
      </c>
      <c r="W81" t="s">
        <v>30</v>
      </c>
      <c r="X81">
        <v>94</v>
      </c>
      <c r="Y81" t="s">
        <v>71</v>
      </c>
      <c r="Z81" t="s">
        <v>72</v>
      </c>
    </row>
    <row r="82" spans="1:26" x14ac:dyDescent="0.35">
      <c r="A82" t="s">
        <v>229</v>
      </c>
      <c r="B82" t="s">
        <v>4</v>
      </c>
      <c r="C82" t="s">
        <v>14</v>
      </c>
      <c r="D82">
        <v>25.02</v>
      </c>
      <c r="E82">
        <v>6.73</v>
      </c>
      <c r="F82">
        <v>19.809999999999999</v>
      </c>
      <c r="G82">
        <v>154.13999999999999</v>
      </c>
      <c r="H82">
        <v>73.22</v>
      </c>
      <c r="I82">
        <v>4.51</v>
      </c>
      <c r="J82" t="s">
        <v>80</v>
      </c>
      <c r="K82" t="s">
        <v>18</v>
      </c>
      <c r="L82">
        <v>47.9</v>
      </c>
      <c r="M82" s="5">
        <v>45368</v>
      </c>
      <c r="N82" s="5">
        <v>45508</v>
      </c>
      <c r="O82" s="5" t="str">
        <f>TEXT(Table1[[#This Row],[harvest_date]],"mmmm")</f>
        <v>August</v>
      </c>
      <c r="P82">
        <v>140</v>
      </c>
      <c r="Q82">
        <v>5953.33</v>
      </c>
      <c r="R82" t="s">
        <v>230</v>
      </c>
      <c r="S82" s="5">
        <v>45373</v>
      </c>
      <c r="T82">
        <v>19.761343</v>
      </c>
      <c r="U82">
        <v>79.402702000000005</v>
      </c>
      <c r="V82">
        <v>0.68</v>
      </c>
      <c r="W82" t="s">
        <v>31</v>
      </c>
      <c r="X82">
        <v>140</v>
      </c>
      <c r="Y82" t="s">
        <v>67</v>
      </c>
      <c r="Z82" t="s">
        <v>82</v>
      </c>
    </row>
    <row r="83" spans="1:26" x14ac:dyDescent="0.35">
      <c r="A83" t="s">
        <v>231</v>
      </c>
      <c r="B83" t="s">
        <v>1</v>
      </c>
      <c r="C83" t="s">
        <v>13</v>
      </c>
      <c r="D83">
        <v>22.5</v>
      </c>
      <c r="E83">
        <v>5.64</v>
      </c>
      <c r="F83">
        <v>19.82</v>
      </c>
      <c r="G83">
        <v>214.28</v>
      </c>
      <c r="H83">
        <v>45.18</v>
      </c>
      <c r="I83">
        <v>7.49</v>
      </c>
      <c r="J83" t="s">
        <v>80</v>
      </c>
      <c r="K83" t="s">
        <v>18</v>
      </c>
      <c r="L83">
        <v>7</v>
      </c>
      <c r="M83" s="5">
        <v>45362</v>
      </c>
      <c r="N83" s="5">
        <v>45504</v>
      </c>
      <c r="O83" s="5" t="str">
        <f>TEXT(Table1[[#This Row],[harvest_date]],"mmmm")</f>
        <v>July</v>
      </c>
      <c r="P83">
        <v>142</v>
      </c>
      <c r="Q83">
        <v>4571.18</v>
      </c>
      <c r="R83" t="s">
        <v>232</v>
      </c>
      <c r="S83" s="5">
        <v>45480</v>
      </c>
      <c r="T83">
        <v>34.520479999999999</v>
      </c>
      <c r="U83">
        <v>79.570622999999998</v>
      </c>
      <c r="V83">
        <v>0.41</v>
      </c>
      <c r="W83" t="s">
        <v>30</v>
      </c>
      <c r="X83">
        <v>142</v>
      </c>
      <c r="Y83" t="s">
        <v>62</v>
      </c>
      <c r="Z83" t="s">
        <v>63</v>
      </c>
    </row>
    <row r="84" spans="1:26" x14ac:dyDescent="0.35">
      <c r="A84" t="s">
        <v>233</v>
      </c>
      <c r="B84" t="s">
        <v>3</v>
      </c>
      <c r="C84" t="s">
        <v>11</v>
      </c>
      <c r="D84">
        <v>11.29</v>
      </c>
      <c r="E84">
        <v>5.9</v>
      </c>
      <c r="F84">
        <v>30.82</v>
      </c>
      <c r="G84">
        <v>271.45</v>
      </c>
      <c r="H84">
        <v>55.78</v>
      </c>
      <c r="I84">
        <v>5.86</v>
      </c>
      <c r="J84" t="s">
        <v>32</v>
      </c>
      <c r="K84" t="s">
        <v>17</v>
      </c>
      <c r="L84">
        <v>26.3</v>
      </c>
      <c r="M84" s="5">
        <v>45316</v>
      </c>
      <c r="N84" s="5">
        <v>45447</v>
      </c>
      <c r="O84" s="5" t="str">
        <f>TEXT(Table1[[#This Row],[harvest_date]],"mmmm")</f>
        <v>June</v>
      </c>
      <c r="P84">
        <v>131</v>
      </c>
      <c r="Q84">
        <v>2764.41</v>
      </c>
      <c r="R84" t="s">
        <v>234</v>
      </c>
      <c r="S84" s="5">
        <v>45407</v>
      </c>
      <c r="T84">
        <v>31.553463000000001</v>
      </c>
      <c r="U84">
        <v>70.956080999999998</v>
      </c>
      <c r="V84">
        <v>0.69</v>
      </c>
      <c r="W84" t="s">
        <v>31</v>
      </c>
      <c r="X84">
        <v>131</v>
      </c>
      <c r="Y84" t="s">
        <v>71</v>
      </c>
      <c r="Z84" t="s">
        <v>72</v>
      </c>
    </row>
    <row r="85" spans="1:26" x14ac:dyDescent="0.35">
      <c r="A85" t="s">
        <v>235</v>
      </c>
      <c r="B85" t="s">
        <v>3</v>
      </c>
      <c r="C85" t="s">
        <v>14</v>
      </c>
      <c r="D85">
        <v>25.29</v>
      </c>
      <c r="E85">
        <v>6.3</v>
      </c>
      <c r="F85">
        <v>23.79</v>
      </c>
      <c r="G85">
        <v>289.12</v>
      </c>
      <c r="H85">
        <v>56.95</v>
      </c>
      <c r="I85">
        <v>5.12</v>
      </c>
      <c r="J85" t="s">
        <v>32</v>
      </c>
      <c r="K85" t="s">
        <v>19</v>
      </c>
      <c r="L85">
        <v>46.59</v>
      </c>
      <c r="M85" s="5">
        <v>45360</v>
      </c>
      <c r="N85" s="5">
        <v>45501</v>
      </c>
      <c r="O85" s="5" t="str">
        <f>TEXT(Table1[[#This Row],[harvest_date]],"mmmm")</f>
        <v>July</v>
      </c>
      <c r="P85">
        <v>141</v>
      </c>
      <c r="Q85">
        <v>2330.4499999999998</v>
      </c>
      <c r="R85" t="s">
        <v>236</v>
      </c>
      <c r="S85" s="5">
        <v>45468</v>
      </c>
      <c r="T85">
        <v>11.973174999999999</v>
      </c>
      <c r="U85">
        <v>82.049065999999996</v>
      </c>
      <c r="V85">
        <v>0.79</v>
      </c>
      <c r="W85" t="s">
        <v>31</v>
      </c>
      <c r="X85">
        <v>141</v>
      </c>
      <c r="Y85" t="s">
        <v>71</v>
      </c>
      <c r="Z85" t="s">
        <v>82</v>
      </c>
    </row>
    <row r="86" spans="1:26" x14ac:dyDescent="0.35">
      <c r="A86" t="s">
        <v>237</v>
      </c>
      <c r="B86" t="s">
        <v>1</v>
      </c>
      <c r="C86" t="s">
        <v>13</v>
      </c>
      <c r="D86">
        <v>12.8</v>
      </c>
      <c r="E86">
        <v>6.82</v>
      </c>
      <c r="F86">
        <v>21.13</v>
      </c>
      <c r="G86">
        <v>200.66</v>
      </c>
      <c r="H86">
        <v>61.31</v>
      </c>
      <c r="I86">
        <v>8.14</v>
      </c>
      <c r="J86" t="s">
        <v>80</v>
      </c>
      <c r="K86" t="s">
        <v>19</v>
      </c>
      <c r="L86">
        <v>6.91</v>
      </c>
      <c r="M86" s="5">
        <v>45342</v>
      </c>
      <c r="N86" s="5">
        <v>45459</v>
      </c>
      <c r="O86" s="5" t="str">
        <f>TEXT(Table1[[#This Row],[harvest_date]],"mmmm")</f>
        <v>June</v>
      </c>
      <c r="P86">
        <v>117</v>
      </c>
      <c r="Q86">
        <v>3098.22</v>
      </c>
      <c r="R86" t="s">
        <v>238</v>
      </c>
      <c r="S86" s="5">
        <v>45443</v>
      </c>
      <c r="T86">
        <v>33.697609</v>
      </c>
      <c r="U86">
        <v>71.500822999999997</v>
      </c>
      <c r="V86">
        <v>0.68</v>
      </c>
      <c r="W86" t="s">
        <v>31</v>
      </c>
      <c r="X86">
        <v>117</v>
      </c>
      <c r="Y86" t="s">
        <v>62</v>
      </c>
      <c r="Z86" t="s">
        <v>63</v>
      </c>
    </row>
    <row r="87" spans="1:26" x14ac:dyDescent="0.35">
      <c r="A87" t="s">
        <v>239</v>
      </c>
      <c r="B87" t="s">
        <v>2</v>
      </c>
      <c r="C87" t="s">
        <v>10</v>
      </c>
      <c r="D87">
        <v>43.35</v>
      </c>
      <c r="E87">
        <v>5.79</v>
      </c>
      <c r="F87">
        <v>27.15</v>
      </c>
      <c r="G87">
        <v>245.33</v>
      </c>
      <c r="H87">
        <v>41.74</v>
      </c>
      <c r="I87">
        <v>4.4000000000000004</v>
      </c>
      <c r="J87" t="s">
        <v>80</v>
      </c>
      <c r="K87" t="s">
        <v>19</v>
      </c>
      <c r="L87">
        <v>22.23</v>
      </c>
      <c r="M87" s="5">
        <v>45353</v>
      </c>
      <c r="N87" s="5">
        <v>45481</v>
      </c>
      <c r="O87" s="5" t="str">
        <f>TEXT(Table1[[#This Row],[harvest_date]],"mmmm")</f>
        <v>July</v>
      </c>
      <c r="P87">
        <v>128</v>
      </c>
      <c r="Q87">
        <v>2613.75</v>
      </c>
      <c r="R87" t="s">
        <v>240</v>
      </c>
      <c r="S87" s="5">
        <v>45468</v>
      </c>
      <c r="T87">
        <v>33.720587999999999</v>
      </c>
      <c r="U87">
        <v>77.440268000000003</v>
      </c>
      <c r="V87">
        <v>0.76</v>
      </c>
      <c r="W87" t="s">
        <v>30</v>
      </c>
      <c r="X87">
        <v>128</v>
      </c>
      <c r="Y87" t="s">
        <v>71</v>
      </c>
      <c r="Z87" t="s">
        <v>72</v>
      </c>
    </row>
    <row r="88" spans="1:26" x14ac:dyDescent="0.35">
      <c r="A88" t="s">
        <v>241</v>
      </c>
      <c r="B88" t="s">
        <v>2</v>
      </c>
      <c r="C88" t="s">
        <v>14</v>
      </c>
      <c r="D88">
        <v>23.93</v>
      </c>
      <c r="E88">
        <v>6.8</v>
      </c>
      <c r="F88">
        <v>19.989999999999998</v>
      </c>
      <c r="G88">
        <v>78.36</v>
      </c>
      <c r="H88">
        <v>76.78</v>
      </c>
      <c r="I88">
        <v>6.99</v>
      </c>
      <c r="J88" t="s">
        <v>32</v>
      </c>
      <c r="K88" t="s">
        <v>17</v>
      </c>
      <c r="L88">
        <v>10.3</v>
      </c>
      <c r="M88" s="5">
        <v>45345</v>
      </c>
      <c r="N88" s="5">
        <v>45463</v>
      </c>
      <c r="O88" s="5" t="str">
        <f>TEXT(Table1[[#This Row],[harvest_date]],"mmmm")</f>
        <v>June</v>
      </c>
      <c r="P88">
        <v>118</v>
      </c>
      <c r="Q88">
        <v>2858.28</v>
      </c>
      <c r="R88" t="s">
        <v>242</v>
      </c>
      <c r="S88" s="5">
        <v>45423</v>
      </c>
      <c r="T88">
        <v>17.139422</v>
      </c>
      <c r="U88">
        <v>88.329577999999998</v>
      </c>
      <c r="V88">
        <v>0.59</v>
      </c>
      <c r="W88" t="s">
        <v>32</v>
      </c>
      <c r="X88">
        <v>118</v>
      </c>
      <c r="Y88" t="s">
        <v>71</v>
      </c>
      <c r="Z88" t="s">
        <v>63</v>
      </c>
    </row>
    <row r="89" spans="1:26" x14ac:dyDescent="0.35">
      <c r="A89" t="s">
        <v>243</v>
      </c>
      <c r="B89" t="s">
        <v>4</v>
      </c>
      <c r="C89" t="s">
        <v>13</v>
      </c>
      <c r="D89">
        <v>25.82</v>
      </c>
      <c r="E89">
        <v>7.3</v>
      </c>
      <c r="F89">
        <v>23.9</v>
      </c>
      <c r="G89">
        <v>71.95</v>
      </c>
      <c r="H89">
        <v>74.099999999999994</v>
      </c>
      <c r="I89">
        <v>9.07</v>
      </c>
      <c r="J89" t="s">
        <v>80</v>
      </c>
      <c r="K89" t="s">
        <v>17</v>
      </c>
      <c r="L89">
        <v>20.63</v>
      </c>
      <c r="M89" s="5">
        <v>45309</v>
      </c>
      <c r="N89" s="5">
        <v>45433</v>
      </c>
      <c r="O89" s="5" t="str">
        <f>TEXT(Table1[[#This Row],[harvest_date]],"mmmm")</f>
        <v>May</v>
      </c>
      <c r="P89">
        <v>124</v>
      </c>
      <c r="Q89">
        <v>3161.45</v>
      </c>
      <c r="R89" t="s">
        <v>244</v>
      </c>
      <c r="S89" s="5">
        <v>45347</v>
      </c>
      <c r="T89">
        <v>31.284051000000002</v>
      </c>
      <c r="U89">
        <v>84.236181999999999</v>
      </c>
      <c r="V89">
        <v>0.86</v>
      </c>
      <c r="W89" t="s">
        <v>30</v>
      </c>
      <c r="X89">
        <v>124</v>
      </c>
      <c r="Y89" t="s">
        <v>62</v>
      </c>
      <c r="Z89" t="s">
        <v>72</v>
      </c>
    </row>
    <row r="90" spans="1:26" x14ac:dyDescent="0.35">
      <c r="A90" t="s">
        <v>245</v>
      </c>
      <c r="B90" t="s">
        <v>1</v>
      </c>
      <c r="C90" t="s">
        <v>12</v>
      </c>
      <c r="D90">
        <v>17.850000000000001</v>
      </c>
      <c r="E90">
        <v>7.47</v>
      </c>
      <c r="F90">
        <v>30.84</v>
      </c>
      <c r="G90">
        <v>109.18</v>
      </c>
      <c r="H90">
        <v>64.7</v>
      </c>
      <c r="I90">
        <v>6.17</v>
      </c>
      <c r="J90" t="s">
        <v>80</v>
      </c>
      <c r="K90" t="s">
        <v>19</v>
      </c>
      <c r="L90">
        <v>41.16</v>
      </c>
      <c r="M90" s="5">
        <v>45356</v>
      </c>
      <c r="N90" s="5">
        <v>45485</v>
      </c>
      <c r="O90" s="5" t="str">
        <f>TEXT(Table1[[#This Row],[harvest_date]],"mmmm")</f>
        <v>July</v>
      </c>
      <c r="P90">
        <v>129</v>
      </c>
      <c r="Q90">
        <v>5536.99</v>
      </c>
      <c r="R90" t="s">
        <v>246</v>
      </c>
      <c r="S90" s="5">
        <v>45372</v>
      </c>
      <c r="T90">
        <v>17.732268000000001</v>
      </c>
      <c r="U90">
        <v>89.991900999999999</v>
      </c>
      <c r="V90">
        <v>0.73</v>
      </c>
      <c r="W90" t="s">
        <v>33</v>
      </c>
      <c r="X90">
        <v>129</v>
      </c>
      <c r="Y90" t="s">
        <v>67</v>
      </c>
      <c r="Z90" t="s">
        <v>82</v>
      </c>
    </row>
    <row r="91" spans="1:26" x14ac:dyDescent="0.35">
      <c r="A91" t="s">
        <v>247</v>
      </c>
      <c r="B91" t="s">
        <v>5</v>
      </c>
      <c r="C91" t="s">
        <v>12</v>
      </c>
      <c r="D91">
        <v>12.58</v>
      </c>
      <c r="E91">
        <v>7.44</v>
      </c>
      <c r="F91">
        <v>27.85</v>
      </c>
      <c r="G91">
        <v>162.49</v>
      </c>
      <c r="H91">
        <v>74.010000000000005</v>
      </c>
      <c r="I91">
        <v>6.07</v>
      </c>
      <c r="J91" t="s">
        <v>65</v>
      </c>
      <c r="K91" t="s">
        <v>18</v>
      </c>
      <c r="L91">
        <v>24.47</v>
      </c>
      <c r="M91" s="5">
        <v>45318</v>
      </c>
      <c r="N91" s="5">
        <v>45415</v>
      </c>
      <c r="O91" s="5" t="str">
        <f>TEXT(Table1[[#This Row],[harvest_date]],"mmmm")</f>
        <v>May</v>
      </c>
      <c r="P91">
        <v>97</v>
      </c>
      <c r="Q91">
        <v>4072.41</v>
      </c>
      <c r="R91" t="s">
        <v>248</v>
      </c>
      <c r="S91" s="5">
        <v>45356</v>
      </c>
      <c r="T91">
        <v>14.116427</v>
      </c>
      <c r="U91">
        <v>76.453215</v>
      </c>
      <c r="V91">
        <v>0.73</v>
      </c>
      <c r="W91" t="s">
        <v>31</v>
      </c>
      <c r="X91">
        <v>97</v>
      </c>
      <c r="Y91" t="s">
        <v>62</v>
      </c>
      <c r="Z91" t="s">
        <v>72</v>
      </c>
    </row>
    <row r="92" spans="1:26" x14ac:dyDescent="0.35">
      <c r="A92" t="s">
        <v>249</v>
      </c>
      <c r="B92" t="s">
        <v>2</v>
      </c>
      <c r="C92" t="s">
        <v>14</v>
      </c>
      <c r="D92">
        <v>39.61</v>
      </c>
      <c r="E92">
        <v>6</v>
      </c>
      <c r="F92">
        <v>27.7</v>
      </c>
      <c r="G92">
        <v>187.71</v>
      </c>
      <c r="H92">
        <v>46.26</v>
      </c>
      <c r="I92">
        <v>5.82</v>
      </c>
      <c r="J92" t="s">
        <v>69</v>
      </c>
      <c r="K92" t="s">
        <v>17</v>
      </c>
      <c r="L92">
        <v>33.840000000000003</v>
      </c>
      <c r="M92" s="5">
        <v>45370</v>
      </c>
      <c r="N92" s="5">
        <v>45469</v>
      </c>
      <c r="O92" s="5" t="str">
        <f>TEXT(Table1[[#This Row],[harvest_date]],"mmmm")</f>
        <v>June</v>
      </c>
      <c r="P92">
        <v>99</v>
      </c>
      <c r="Q92">
        <v>2684.8</v>
      </c>
      <c r="R92" t="s">
        <v>250</v>
      </c>
      <c r="S92" s="5">
        <v>45449</v>
      </c>
      <c r="T92">
        <v>28.015819</v>
      </c>
      <c r="U92">
        <v>82.102778000000001</v>
      </c>
      <c r="V92">
        <v>0.81</v>
      </c>
      <c r="W92" t="s">
        <v>32</v>
      </c>
      <c r="X92">
        <v>99</v>
      </c>
      <c r="Y92" t="s">
        <v>71</v>
      </c>
      <c r="Z92" t="s">
        <v>72</v>
      </c>
    </row>
    <row r="93" spans="1:26" x14ac:dyDescent="0.35">
      <c r="A93" t="s">
        <v>251</v>
      </c>
      <c r="B93" t="s">
        <v>3</v>
      </c>
      <c r="C93" t="s">
        <v>13</v>
      </c>
      <c r="D93">
        <v>11.59</v>
      </c>
      <c r="E93">
        <v>6.78</v>
      </c>
      <c r="F93">
        <v>26.54</v>
      </c>
      <c r="G93">
        <v>212.78</v>
      </c>
      <c r="H93">
        <v>78.349999999999994</v>
      </c>
      <c r="I93">
        <v>6.5</v>
      </c>
      <c r="J93" t="s">
        <v>69</v>
      </c>
      <c r="K93" t="s">
        <v>19</v>
      </c>
      <c r="L93">
        <v>45</v>
      </c>
      <c r="M93" s="5">
        <v>45361</v>
      </c>
      <c r="N93" s="5">
        <v>45492</v>
      </c>
      <c r="O93" s="5" t="str">
        <f>TEXT(Table1[[#This Row],[harvest_date]],"mmmm")</f>
        <v>July</v>
      </c>
      <c r="P93">
        <v>131</v>
      </c>
      <c r="Q93">
        <v>5826.6</v>
      </c>
      <c r="R93" t="s">
        <v>252</v>
      </c>
      <c r="S93" s="5">
        <v>45484</v>
      </c>
      <c r="T93">
        <v>16.121948</v>
      </c>
      <c r="U93">
        <v>86.146985999999998</v>
      </c>
      <c r="V93">
        <v>0.54</v>
      </c>
      <c r="W93" t="s">
        <v>33</v>
      </c>
      <c r="X93">
        <v>131</v>
      </c>
      <c r="Y93" t="s">
        <v>67</v>
      </c>
      <c r="Z93" t="s">
        <v>82</v>
      </c>
    </row>
    <row r="94" spans="1:26" x14ac:dyDescent="0.35">
      <c r="A94" t="s">
        <v>253</v>
      </c>
      <c r="B94" t="s">
        <v>3</v>
      </c>
      <c r="C94" t="s">
        <v>13</v>
      </c>
      <c r="D94">
        <v>15.53</v>
      </c>
      <c r="E94">
        <v>6.33</v>
      </c>
      <c r="F94">
        <v>24.29</v>
      </c>
      <c r="G94">
        <v>135.05000000000001</v>
      </c>
      <c r="H94">
        <v>47.18</v>
      </c>
      <c r="I94">
        <v>9.17</v>
      </c>
      <c r="J94" t="s">
        <v>80</v>
      </c>
      <c r="K94" t="s">
        <v>17</v>
      </c>
      <c r="L94">
        <v>49.46</v>
      </c>
      <c r="M94" s="5">
        <v>45335</v>
      </c>
      <c r="N94" s="5">
        <v>45433</v>
      </c>
      <c r="O94" s="5" t="str">
        <f>TEXT(Table1[[#This Row],[harvest_date]],"mmmm")</f>
        <v>May</v>
      </c>
      <c r="P94">
        <v>98</v>
      </c>
      <c r="Q94">
        <v>5042.66</v>
      </c>
      <c r="R94" t="s">
        <v>254</v>
      </c>
      <c r="S94" s="5">
        <v>45400</v>
      </c>
      <c r="T94">
        <v>24.04128</v>
      </c>
      <c r="U94">
        <v>76.382317999999998</v>
      </c>
      <c r="V94">
        <v>0.57999999999999996</v>
      </c>
      <c r="W94" t="s">
        <v>31</v>
      </c>
      <c r="X94">
        <v>98</v>
      </c>
      <c r="Y94" t="s">
        <v>62</v>
      </c>
      <c r="Z94" t="s">
        <v>82</v>
      </c>
    </row>
    <row r="95" spans="1:26" x14ac:dyDescent="0.35">
      <c r="A95" t="s">
        <v>255</v>
      </c>
      <c r="B95" t="s">
        <v>5</v>
      </c>
      <c r="C95" t="s">
        <v>10</v>
      </c>
      <c r="D95">
        <v>14.93</v>
      </c>
      <c r="E95">
        <v>5.6</v>
      </c>
      <c r="F95">
        <v>33.909999999999997</v>
      </c>
      <c r="G95">
        <v>266.04000000000002</v>
      </c>
      <c r="H95">
        <v>60.91</v>
      </c>
      <c r="I95">
        <v>9.7799999999999994</v>
      </c>
      <c r="J95" t="s">
        <v>65</v>
      </c>
      <c r="K95" t="s">
        <v>19</v>
      </c>
      <c r="L95">
        <v>47.02</v>
      </c>
      <c r="M95" s="5">
        <v>45362</v>
      </c>
      <c r="N95" s="5">
        <v>45464</v>
      </c>
      <c r="O95" s="5" t="str">
        <f>TEXT(Table1[[#This Row],[harvest_date]],"mmmm")</f>
        <v>June</v>
      </c>
      <c r="P95">
        <v>102</v>
      </c>
      <c r="Q95">
        <v>5052.49</v>
      </c>
      <c r="R95" t="s">
        <v>256</v>
      </c>
      <c r="S95" s="5">
        <v>45425</v>
      </c>
      <c r="T95">
        <v>34.899234999999997</v>
      </c>
      <c r="U95">
        <v>79.336302000000003</v>
      </c>
      <c r="V95">
        <v>0.83</v>
      </c>
      <c r="W95" t="s">
        <v>33</v>
      </c>
      <c r="X95">
        <v>102</v>
      </c>
      <c r="Y95" t="s">
        <v>62</v>
      </c>
      <c r="Z95" t="s">
        <v>82</v>
      </c>
    </row>
    <row r="96" spans="1:26" x14ac:dyDescent="0.35">
      <c r="A96" t="s">
        <v>257</v>
      </c>
      <c r="B96" t="s">
        <v>3</v>
      </c>
      <c r="C96" t="s">
        <v>13</v>
      </c>
      <c r="D96">
        <v>43.08</v>
      </c>
      <c r="E96">
        <v>6.51</v>
      </c>
      <c r="F96">
        <v>34.33</v>
      </c>
      <c r="G96">
        <v>103.79</v>
      </c>
      <c r="H96">
        <v>57.64</v>
      </c>
      <c r="I96">
        <v>4.3</v>
      </c>
      <c r="J96" t="s">
        <v>32</v>
      </c>
      <c r="K96" t="s">
        <v>17</v>
      </c>
      <c r="L96">
        <v>44.71</v>
      </c>
      <c r="M96" s="5">
        <v>45373</v>
      </c>
      <c r="N96" s="5">
        <v>45493</v>
      </c>
      <c r="O96" s="5" t="str">
        <f>TEXT(Table1[[#This Row],[harvest_date]],"mmmm")</f>
        <v>July</v>
      </c>
      <c r="P96">
        <v>120</v>
      </c>
      <c r="Q96">
        <v>3142.99</v>
      </c>
      <c r="R96" t="s">
        <v>258</v>
      </c>
      <c r="S96" s="5">
        <v>45374</v>
      </c>
      <c r="T96">
        <v>31.179309</v>
      </c>
      <c r="U96">
        <v>78.618555000000001</v>
      </c>
      <c r="V96">
        <v>0.83</v>
      </c>
      <c r="W96" t="s">
        <v>31</v>
      </c>
      <c r="X96">
        <v>120</v>
      </c>
      <c r="Y96" t="s">
        <v>62</v>
      </c>
      <c r="Z96" t="s">
        <v>82</v>
      </c>
    </row>
    <row r="97" spans="1:26" x14ac:dyDescent="0.35">
      <c r="A97" t="s">
        <v>259</v>
      </c>
      <c r="B97" t="s">
        <v>5</v>
      </c>
      <c r="C97" t="s">
        <v>14</v>
      </c>
      <c r="D97">
        <v>11.58</v>
      </c>
      <c r="E97">
        <v>5.6</v>
      </c>
      <c r="F97">
        <v>26.24</v>
      </c>
      <c r="G97">
        <v>140.63</v>
      </c>
      <c r="H97">
        <v>54.43</v>
      </c>
      <c r="I97">
        <v>6.32</v>
      </c>
      <c r="J97" t="s">
        <v>32</v>
      </c>
      <c r="K97" t="s">
        <v>17</v>
      </c>
      <c r="L97">
        <v>17.59</v>
      </c>
      <c r="M97" s="5">
        <v>45373</v>
      </c>
      <c r="N97" s="5">
        <v>45502</v>
      </c>
      <c r="O97" s="5" t="str">
        <f>TEXT(Table1[[#This Row],[harvest_date]],"mmmm")</f>
        <v>July</v>
      </c>
      <c r="P97">
        <v>129</v>
      </c>
      <c r="Q97">
        <v>2475.2399999999998</v>
      </c>
      <c r="R97" t="s">
        <v>260</v>
      </c>
      <c r="S97" s="5">
        <v>45397</v>
      </c>
      <c r="T97">
        <v>19.847593</v>
      </c>
      <c r="U97">
        <v>85.897945000000007</v>
      </c>
      <c r="V97">
        <v>0.5</v>
      </c>
      <c r="W97" t="s">
        <v>31</v>
      </c>
      <c r="X97">
        <v>129</v>
      </c>
      <c r="Y97" t="s">
        <v>71</v>
      </c>
      <c r="Z97" t="s">
        <v>72</v>
      </c>
    </row>
    <row r="98" spans="1:26" x14ac:dyDescent="0.35">
      <c r="A98" t="s">
        <v>261</v>
      </c>
      <c r="B98" t="s">
        <v>4</v>
      </c>
      <c r="C98" t="s">
        <v>10</v>
      </c>
      <c r="D98">
        <v>31.09</v>
      </c>
      <c r="E98">
        <v>6.3</v>
      </c>
      <c r="F98">
        <v>15.81</v>
      </c>
      <c r="G98">
        <v>59.73</v>
      </c>
      <c r="H98">
        <v>75.680000000000007</v>
      </c>
      <c r="I98">
        <v>8.82</v>
      </c>
      <c r="J98" t="s">
        <v>32</v>
      </c>
      <c r="K98" t="s">
        <v>18</v>
      </c>
      <c r="L98">
        <v>32.28</v>
      </c>
      <c r="M98" s="5">
        <v>45356</v>
      </c>
      <c r="N98" s="5">
        <v>45466</v>
      </c>
      <c r="O98" s="5" t="str">
        <f>TEXT(Table1[[#This Row],[harvest_date]],"mmmm")</f>
        <v>June</v>
      </c>
      <c r="P98">
        <v>110</v>
      </c>
      <c r="Q98">
        <v>5725.47</v>
      </c>
      <c r="R98" t="s">
        <v>262</v>
      </c>
      <c r="S98" s="5">
        <v>45396</v>
      </c>
      <c r="T98">
        <v>14.062550999999999</v>
      </c>
      <c r="U98">
        <v>89.812314999999998</v>
      </c>
      <c r="V98">
        <v>0.74</v>
      </c>
      <c r="W98" t="s">
        <v>31</v>
      </c>
      <c r="X98">
        <v>110</v>
      </c>
      <c r="Y98" t="s">
        <v>67</v>
      </c>
      <c r="Z98" t="s">
        <v>72</v>
      </c>
    </row>
    <row r="99" spans="1:26" x14ac:dyDescent="0.35">
      <c r="A99" t="s">
        <v>263</v>
      </c>
      <c r="B99" t="s">
        <v>2</v>
      </c>
      <c r="C99" t="s">
        <v>14</v>
      </c>
      <c r="D99">
        <v>27.76</v>
      </c>
      <c r="E99">
        <v>6.52</v>
      </c>
      <c r="F99">
        <v>24.8</v>
      </c>
      <c r="G99">
        <v>190.73</v>
      </c>
      <c r="H99">
        <v>63.74</v>
      </c>
      <c r="I99">
        <v>4.0999999999999996</v>
      </c>
      <c r="J99" t="s">
        <v>80</v>
      </c>
      <c r="K99" t="s">
        <v>17</v>
      </c>
      <c r="L99">
        <v>9.93</v>
      </c>
      <c r="M99" s="5">
        <v>45341</v>
      </c>
      <c r="N99" s="5">
        <v>45450</v>
      </c>
      <c r="O99" s="5" t="str">
        <f>TEXT(Table1[[#This Row],[harvest_date]],"mmmm")</f>
        <v>June</v>
      </c>
      <c r="P99">
        <v>109</v>
      </c>
      <c r="Q99">
        <v>5187.0200000000004</v>
      </c>
      <c r="R99" t="s">
        <v>264</v>
      </c>
      <c r="S99" s="5">
        <v>45433</v>
      </c>
      <c r="T99">
        <v>31.802478000000001</v>
      </c>
      <c r="U99">
        <v>82.585210000000004</v>
      </c>
      <c r="V99">
        <v>0.66</v>
      </c>
      <c r="W99" t="s">
        <v>31</v>
      </c>
      <c r="X99">
        <v>109</v>
      </c>
      <c r="Y99" t="s">
        <v>67</v>
      </c>
      <c r="Z99" t="s">
        <v>63</v>
      </c>
    </row>
    <row r="100" spans="1:26" x14ac:dyDescent="0.35">
      <c r="A100" t="s">
        <v>265</v>
      </c>
      <c r="B100" t="s">
        <v>2</v>
      </c>
      <c r="C100" t="s">
        <v>12</v>
      </c>
      <c r="D100">
        <v>17.96</v>
      </c>
      <c r="E100">
        <v>5.6</v>
      </c>
      <c r="F100">
        <v>24.61</v>
      </c>
      <c r="G100">
        <v>181.06</v>
      </c>
      <c r="H100">
        <v>76.06</v>
      </c>
      <c r="I100">
        <v>8.65</v>
      </c>
      <c r="J100" t="s">
        <v>32</v>
      </c>
      <c r="K100" t="s">
        <v>18</v>
      </c>
      <c r="L100">
        <v>41.97</v>
      </c>
      <c r="M100" s="5">
        <v>45293</v>
      </c>
      <c r="N100" s="5">
        <v>45419</v>
      </c>
      <c r="O100" s="5" t="str">
        <f>TEXT(Table1[[#This Row],[harvest_date]],"mmmm")</f>
        <v>May</v>
      </c>
      <c r="P100">
        <v>126</v>
      </c>
      <c r="Q100">
        <v>5792.82</v>
      </c>
      <c r="R100" t="s">
        <v>266</v>
      </c>
      <c r="S100" s="5">
        <v>45307</v>
      </c>
      <c r="T100">
        <v>14.769608</v>
      </c>
      <c r="U100">
        <v>78.820770999999993</v>
      </c>
      <c r="V100">
        <v>0.55000000000000004</v>
      </c>
      <c r="W100" t="s">
        <v>33</v>
      </c>
      <c r="X100">
        <v>126</v>
      </c>
      <c r="Y100" t="s">
        <v>67</v>
      </c>
      <c r="Z100" t="s">
        <v>82</v>
      </c>
    </row>
    <row r="101" spans="1:26" x14ac:dyDescent="0.35">
      <c r="A101" t="s">
        <v>267</v>
      </c>
      <c r="B101" t="s">
        <v>4</v>
      </c>
      <c r="C101" t="s">
        <v>11</v>
      </c>
      <c r="D101">
        <v>27.56</v>
      </c>
      <c r="E101">
        <v>6.72</v>
      </c>
      <c r="F101">
        <v>24.43</v>
      </c>
      <c r="G101">
        <v>262.08999999999997</v>
      </c>
      <c r="H101">
        <v>76.37</v>
      </c>
      <c r="I101">
        <v>8.23</v>
      </c>
      <c r="J101" t="s">
        <v>65</v>
      </c>
      <c r="K101" t="s">
        <v>17</v>
      </c>
      <c r="L101">
        <v>19.63</v>
      </c>
      <c r="M101" s="5">
        <v>45367</v>
      </c>
      <c r="N101" s="5">
        <v>45490</v>
      </c>
      <c r="O101" s="5" t="str">
        <f>TEXT(Table1[[#This Row],[harvest_date]],"mmmm")</f>
        <v>July</v>
      </c>
      <c r="P101">
        <v>123</v>
      </c>
      <c r="Q101">
        <v>3507.3</v>
      </c>
      <c r="R101" t="s">
        <v>268</v>
      </c>
      <c r="S101" s="5">
        <v>45489</v>
      </c>
      <c r="T101">
        <v>14.329561</v>
      </c>
      <c r="U101">
        <v>88.242482999999993</v>
      </c>
      <c r="V101">
        <v>0.51</v>
      </c>
      <c r="W101" t="s">
        <v>31</v>
      </c>
      <c r="X101">
        <v>123</v>
      </c>
      <c r="Y101" t="s">
        <v>62</v>
      </c>
      <c r="Z101" t="s">
        <v>72</v>
      </c>
    </row>
    <row r="102" spans="1:26" x14ac:dyDescent="0.35">
      <c r="A102" t="s">
        <v>269</v>
      </c>
      <c r="B102" t="s">
        <v>1</v>
      </c>
      <c r="C102" t="s">
        <v>12</v>
      </c>
      <c r="D102">
        <v>26.95</v>
      </c>
      <c r="E102">
        <v>7.41</v>
      </c>
      <c r="F102">
        <v>20.58</v>
      </c>
      <c r="G102">
        <v>124.62</v>
      </c>
      <c r="H102">
        <v>87.07</v>
      </c>
      <c r="I102">
        <v>9.89</v>
      </c>
      <c r="J102" t="s">
        <v>80</v>
      </c>
      <c r="K102" t="s">
        <v>17</v>
      </c>
      <c r="L102">
        <v>14.33</v>
      </c>
      <c r="M102" s="5">
        <v>45367</v>
      </c>
      <c r="N102" s="5">
        <v>45477</v>
      </c>
      <c r="O102" s="5" t="str">
        <f>TEXT(Table1[[#This Row],[harvest_date]],"mmmm")</f>
        <v>July</v>
      </c>
      <c r="P102">
        <v>110</v>
      </c>
      <c r="Q102">
        <v>3919.21</v>
      </c>
      <c r="R102" t="s">
        <v>270</v>
      </c>
      <c r="S102" s="5">
        <v>45438</v>
      </c>
      <c r="T102">
        <v>33.342509</v>
      </c>
      <c r="U102">
        <v>85.908107000000001</v>
      </c>
      <c r="V102">
        <v>0.46</v>
      </c>
      <c r="W102" t="s">
        <v>32</v>
      </c>
      <c r="X102">
        <v>110</v>
      </c>
      <c r="Y102" t="s">
        <v>62</v>
      </c>
      <c r="Z102" t="s">
        <v>63</v>
      </c>
    </row>
    <row r="103" spans="1:26" x14ac:dyDescent="0.35">
      <c r="A103" t="s">
        <v>271</v>
      </c>
      <c r="B103" t="s">
        <v>2</v>
      </c>
      <c r="C103" t="s">
        <v>12</v>
      </c>
      <c r="D103">
        <v>23.29</v>
      </c>
      <c r="E103">
        <v>7.46</v>
      </c>
      <c r="F103">
        <v>31.37</v>
      </c>
      <c r="G103">
        <v>288.64999999999998</v>
      </c>
      <c r="H103">
        <v>80.23</v>
      </c>
      <c r="I103">
        <v>5.74</v>
      </c>
      <c r="J103" t="s">
        <v>80</v>
      </c>
      <c r="K103" t="s">
        <v>17</v>
      </c>
      <c r="L103">
        <v>8.56</v>
      </c>
      <c r="M103" s="5">
        <v>45343</v>
      </c>
      <c r="N103" s="5">
        <v>45449</v>
      </c>
      <c r="O103" s="5" t="str">
        <f>TEXT(Table1[[#This Row],[harvest_date]],"mmmm")</f>
        <v>June</v>
      </c>
      <c r="P103">
        <v>106</v>
      </c>
      <c r="Q103">
        <v>4989.3500000000004</v>
      </c>
      <c r="R103" t="s">
        <v>272</v>
      </c>
      <c r="S103" s="5">
        <v>45370</v>
      </c>
      <c r="T103">
        <v>15.0517</v>
      </c>
      <c r="U103">
        <v>80.771557999999999</v>
      </c>
      <c r="V103">
        <v>0.86</v>
      </c>
      <c r="W103" t="s">
        <v>31</v>
      </c>
      <c r="X103">
        <v>106</v>
      </c>
      <c r="Y103" t="s">
        <v>62</v>
      </c>
      <c r="Z103" t="s">
        <v>63</v>
      </c>
    </row>
    <row r="104" spans="1:26" x14ac:dyDescent="0.35">
      <c r="A104" t="s">
        <v>273</v>
      </c>
      <c r="B104" t="s">
        <v>4</v>
      </c>
      <c r="C104" t="s">
        <v>13</v>
      </c>
      <c r="D104">
        <v>31.55</v>
      </c>
      <c r="E104">
        <v>6.67</v>
      </c>
      <c r="F104">
        <v>19.850000000000001</v>
      </c>
      <c r="G104">
        <v>217.46</v>
      </c>
      <c r="H104">
        <v>66.55</v>
      </c>
      <c r="I104">
        <v>7.83</v>
      </c>
      <c r="J104" t="s">
        <v>69</v>
      </c>
      <c r="K104" t="s">
        <v>18</v>
      </c>
      <c r="L104">
        <v>23.6</v>
      </c>
      <c r="M104" s="5">
        <v>45367</v>
      </c>
      <c r="N104" s="5">
        <v>45463</v>
      </c>
      <c r="O104" s="5" t="str">
        <f>TEXT(Table1[[#This Row],[harvest_date]],"mmmm")</f>
        <v>June</v>
      </c>
      <c r="P104">
        <v>96</v>
      </c>
      <c r="Q104">
        <v>4724.7700000000004</v>
      </c>
      <c r="R104" t="s">
        <v>274</v>
      </c>
      <c r="S104" s="5">
        <v>45384</v>
      </c>
      <c r="T104">
        <v>10.129536</v>
      </c>
      <c r="U104">
        <v>81.007051000000004</v>
      </c>
      <c r="V104">
        <v>0.86</v>
      </c>
      <c r="W104" t="s">
        <v>33</v>
      </c>
      <c r="X104">
        <v>96</v>
      </c>
      <c r="Y104" t="s">
        <v>62</v>
      </c>
      <c r="Z104" t="s">
        <v>72</v>
      </c>
    </row>
    <row r="105" spans="1:26" x14ac:dyDescent="0.35">
      <c r="A105" t="s">
        <v>275</v>
      </c>
      <c r="B105" t="s">
        <v>5</v>
      </c>
      <c r="C105" t="s">
        <v>11</v>
      </c>
      <c r="D105">
        <v>32.770000000000003</v>
      </c>
      <c r="E105">
        <v>7.01</v>
      </c>
      <c r="F105">
        <v>20.74</v>
      </c>
      <c r="G105">
        <v>121.35</v>
      </c>
      <c r="H105">
        <v>42.96</v>
      </c>
      <c r="I105">
        <v>8.61</v>
      </c>
      <c r="J105" t="s">
        <v>65</v>
      </c>
      <c r="K105" t="s">
        <v>17</v>
      </c>
      <c r="L105">
        <v>38.24</v>
      </c>
      <c r="M105" s="5">
        <v>45297</v>
      </c>
      <c r="N105" s="5">
        <v>45413</v>
      </c>
      <c r="O105" s="5" t="str">
        <f>TEXT(Table1[[#This Row],[harvest_date]],"mmmm")</f>
        <v>May</v>
      </c>
      <c r="P105">
        <v>116</v>
      </c>
      <c r="Q105">
        <v>5528.98</v>
      </c>
      <c r="R105" t="s">
        <v>276</v>
      </c>
      <c r="S105" s="5">
        <v>45319</v>
      </c>
      <c r="T105">
        <v>33.348064999999998</v>
      </c>
      <c r="U105">
        <v>70.726797000000005</v>
      </c>
      <c r="V105">
        <v>0.8</v>
      </c>
      <c r="W105" t="s">
        <v>33</v>
      </c>
      <c r="X105">
        <v>116</v>
      </c>
      <c r="Y105" t="s">
        <v>67</v>
      </c>
      <c r="Z105" t="s">
        <v>82</v>
      </c>
    </row>
    <row r="106" spans="1:26" x14ac:dyDescent="0.35">
      <c r="A106" t="s">
        <v>277</v>
      </c>
      <c r="B106" t="s">
        <v>4</v>
      </c>
      <c r="C106" t="s">
        <v>14</v>
      </c>
      <c r="D106">
        <v>40.69</v>
      </c>
      <c r="E106">
        <v>5.52</v>
      </c>
      <c r="F106">
        <v>26.36</v>
      </c>
      <c r="G106">
        <v>76.83</v>
      </c>
      <c r="H106">
        <v>89.15</v>
      </c>
      <c r="I106">
        <v>5.71</v>
      </c>
      <c r="J106" t="s">
        <v>32</v>
      </c>
      <c r="K106" t="s">
        <v>18</v>
      </c>
      <c r="L106">
        <v>43.3</v>
      </c>
      <c r="M106" s="5">
        <v>45331</v>
      </c>
      <c r="N106" s="5">
        <v>45433</v>
      </c>
      <c r="O106" s="5" t="str">
        <f>TEXT(Table1[[#This Row],[harvest_date]],"mmmm")</f>
        <v>May</v>
      </c>
      <c r="P106">
        <v>102</v>
      </c>
      <c r="Q106">
        <v>5235.26</v>
      </c>
      <c r="R106" t="s">
        <v>278</v>
      </c>
      <c r="S106" s="5">
        <v>45373</v>
      </c>
      <c r="T106">
        <v>14.062357</v>
      </c>
      <c r="U106">
        <v>79.178289000000007</v>
      </c>
      <c r="V106">
        <v>0.45</v>
      </c>
      <c r="W106" t="s">
        <v>30</v>
      </c>
      <c r="X106">
        <v>102</v>
      </c>
      <c r="Y106" t="s">
        <v>67</v>
      </c>
      <c r="Z106" t="s">
        <v>82</v>
      </c>
    </row>
    <row r="107" spans="1:26" x14ac:dyDescent="0.35">
      <c r="A107" t="s">
        <v>279</v>
      </c>
      <c r="B107" t="s">
        <v>3</v>
      </c>
      <c r="C107" t="s">
        <v>14</v>
      </c>
      <c r="D107">
        <v>37.68</v>
      </c>
      <c r="E107">
        <v>6.64</v>
      </c>
      <c r="F107">
        <v>30.15</v>
      </c>
      <c r="G107">
        <v>93.87</v>
      </c>
      <c r="H107">
        <v>82.81</v>
      </c>
      <c r="I107">
        <v>9.3800000000000008</v>
      </c>
      <c r="J107" t="s">
        <v>32</v>
      </c>
      <c r="K107" t="s">
        <v>17</v>
      </c>
      <c r="L107">
        <v>19.760000000000002</v>
      </c>
      <c r="M107" s="5">
        <v>45344</v>
      </c>
      <c r="N107" s="5">
        <v>45440</v>
      </c>
      <c r="O107" s="5" t="str">
        <f>TEXT(Table1[[#This Row],[harvest_date]],"mmmm")</f>
        <v>May</v>
      </c>
      <c r="P107">
        <v>96</v>
      </c>
      <c r="Q107">
        <v>2739.12</v>
      </c>
      <c r="R107" t="s">
        <v>280</v>
      </c>
      <c r="S107" s="5">
        <v>45361</v>
      </c>
      <c r="T107">
        <v>21.936351999999999</v>
      </c>
      <c r="U107">
        <v>88.716508000000005</v>
      </c>
      <c r="V107">
        <v>0.3</v>
      </c>
      <c r="W107" t="s">
        <v>33</v>
      </c>
      <c r="X107">
        <v>96</v>
      </c>
      <c r="Y107" t="s">
        <v>71</v>
      </c>
      <c r="Z107" t="s">
        <v>72</v>
      </c>
    </row>
    <row r="108" spans="1:26" x14ac:dyDescent="0.35">
      <c r="A108" t="s">
        <v>281</v>
      </c>
      <c r="B108" t="s">
        <v>4</v>
      </c>
      <c r="C108" t="s">
        <v>11</v>
      </c>
      <c r="D108">
        <v>36.380000000000003</v>
      </c>
      <c r="E108">
        <v>7.41</v>
      </c>
      <c r="F108">
        <v>21.04</v>
      </c>
      <c r="G108">
        <v>230.72</v>
      </c>
      <c r="H108">
        <v>40.57</v>
      </c>
      <c r="I108">
        <v>7.92</v>
      </c>
      <c r="J108" t="s">
        <v>65</v>
      </c>
      <c r="K108" t="s">
        <v>18</v>
      </c>
      <c r="L108">
        <v>35.049999999999997</v>
      </c>
      <c r="M108" s="5">
        <v>45332</v>
      </c>
      <c r="N108" s="5">
        <v>45432</v>
      </c>
      <c r="O108" s="5" t="str">
        <f>TEXT(Table1[[#This Row],[harvest_date]],"mmmm")</f>
        <v>May</v>
      </c>
      <c r="P108">
        <v>100</v>
      </c>
      <c r="Q108">
        <v>3621.67</v>
      </c>
      <c r="R108" t="s">
        <v>282</v>
      </c>
      <c r="S108" s="5">
        <v>45396</v>
      </c>
      <c r="T108">
        <v>33.077649999999998</v>
      </c>
      <c r="U108">
        <v>87.756028000000001</v>
      </c>
      <c r="V108">
        <v>0.76</v>
      </c>
      <c r="W108" t="s">
        <v>32</v>
      </c>
      <c r="X108">
        <v>100</v>
      </c>
      <c r="Y108" t="s">
        <v>62</v>
      </c>
      <c r="Z108" t="s">
        <v>72</v>
      </c>
    </row>
    <row r="109" spans="1:26" x14ac:dyDescent="0.35">
      <c r="A109" t="s">
        <v>283</v>
      </c>
      <c r="B109" t="s">
        <v>1</v>
      </c>
      <c r="C109" t="s">
        <v>14</v>
      </c>
      <c r="D109">
        <v>31.51</v>
      </c>
      <c r="E109">
        <v>5.94</v>
      </c>
      <c r="F109">
        <v>17.670000000000002</v>
      </c>
      <c r="G109">
        <v>88.3</v>
      </c>
      <c r="H109">
        <v>77.39</v>
      </c>
      <c r="I109">
        <v>7.63</v>
      </c>
      <c r="J109" t="s">
        <v>32</v>
      </c>
      <c r="K109" t="s">
        <v>17</v>
      </c>
      <c r="L109">
        <v>29.72</v>
      </c>
      <c r="M109" s="5">
        <v>45347</v>
      </c>
      <c r="N109" s="5">
        <v>45471</v>
      </c>
      <c r="O109" s="5" t="str">
        <f>TEXT(Table1[[#This Row],[harvest_date]],"mmmm")</f>
        <v>June</v>
      </c>
      <c r="P109">
        <v>124</v>
      </c>
      <c r="Q109">
        <v>5207.9799999999996</v>
      </c>
      <c r="R109" t="s">
        <v>284</v>
      </c>
      <c r="S109" s="5">
        <v>45452</v>
      </c>
      <c r="T109">
        <v>15.460291</v>
      </c>
      <c r="U109">
        <v>74.949309</v>
      </c>
      <c r="V109">
        <v>0.75</v>
      </c>
      <c r="W109" t="s">
        <v>32</v>
      </c>
      <c r="X109">
        <v>124</v>
      </c>
      <c r="Y109" t="s">
        <v>67</v>
      </c>
      <c r="Z109" t="s">
        <v>72</v>
      </c>
    </row>
    <row r="110" spans="1:26" x14ac:dyDescent="0.35">
      <c r="A110" t="s">
        <v>285</v>
      </c>
      <c r="B110" t="s">
        <v>2</v>
      </c>
      <c r="C110" t="s">
        <v>11</v>
      </c>
      <c r="D110">
        <v>28.49</v>
      </c>
      <c r="E110">
        <v>6.22</v>
      </c>
      <c r="F110">
        <v>33.340000000000003</v>
      </c>
      <c r="G110">
        <v>78.05</v>
      </c>
      <c r="H110">
        <v>81.44</v>
      </c>
      <c r="I110">
        <v>9.42</v>
      </c>
      <c r="J110" t="s">
        <v>65</v>
      </c>
      <c r="K110" t="s">
        <v>17</v>
      </c>
      <c r="L110">
        <v>29.15</v>
      </c>
      <c r="M110" s="5">
        <v>45302</v>
      </c>
      <c r="N110" s="5">
        <v>45446</v>
      </c>
      <c r="O110" s="5" t="str">
        <f>TEXT(Table1[[#This Row],[harvest_date]],"mmmm")</f>
        <v>June</v>
      </c>
      <c r="P110">
        <v>144</v>
      </c>
      <c r="Q110">
        <v>4081.37</v>
      </c>
      <c r="R110" t="s">
        <v>286</v>
      </c>
      <c r="S110" s="5">
        <v>45331</v>
      </c>
      <c r="T110">
        <v>27.007380999999999</v>
      </c>
      <c r="U110">
        <v>84.338358999999997</v>
      </c>
      <c r="V110">
        <v>0.59</v>
      </c>
      <c r="W110" t="s">
        <v>33</v>
      </c>
      <c r="X110">
        <v>144</v>
      </c>
      <c r="Y110" t="s">
        <v>62</v>
      </c>
      <c r="Z110" t="s">
        <v>72</v>
      </c>
    </row>
    <row r="111" spans="1:26" x14ac:dyDescent="0.35">
      <c r="A111" t="s">
        <v>287</v>
      </c>
      <c r="B111" t="s">
        <v>3</v>
      </c>
      <c r="C111" t="s">
        <v>11</v>
      </c>
      <c r="D111">
        <v>14.62</v>
      </c>
      <c r="E111">
        <v>6.33</v>
      </c>
      <c r="F111">
        <v>26.28</v>
      </c>
      <c r="G111">
        <v>189.7</v>
      </c>
      <c r="H111">
        <v>73.64</v>
      </c>
      <c r="I111">
        <v>5.85</v>
      </c>
      <c r="J111" t="s">
        <v>69</v>
      </c>
      <c r="K111" t="s">
        <v>19</v>
      </c>
      <c r="L111">
        <v>16.45</v>
      </c>
      <c r="M111" s="5">
        <v>45315</v>
      </c>
      <c r="N111" s="5">
        <v>45418</v>
      </c>
      <c r="O111" s="5" t="str">
        <f>TEXT(Table1[[#This Row],[harvest_date]],"mmmm")</f>
        <v>May</v>
      </c>
      <c r="P111">
        <v>103</v>
      </c>
      <c r="Q111">
        <v>4313.25</v>
      </c>
      <c r="R111" t="s">
        <v>288</v>
      </c>
      <c r="S111" s="5">
        <v>45320</v>
      </c>
      <c r="T111">
        <v>20.592434999999998</v>
      </c>
      <c r="U111">
        <v>84.007698000000005</v>
      </c>
      <c r="V111">
        <v>0.62</v>
      </c>
      <c r="W111" t="s">
        <v>32</v>
      </c>
      <c r="X111">
        <v>103</v>
      </c>
      <c r="Y111" t="s">
        <v>62</v>
      </c>
      <c r="Z111" t="s">
        <v>72</v>
      </c>
    </row>
    <row r="112" spans="1:26" x14ac:dyDescent="0.35">
      <c r="A112" t="s">
        <v>289</v>
      </c>
      <c r="B112" t="s">
        <v>3</v>
      </c>
      <c r="C112" t="s">
        <v>11</v>
      </c>
      <c r="D112">
        <v>11.11</v>
      </c>
      <c r="E112">
        <v>6.32</v>
      </c>
      <c r="F112">
        <v>30.38</v>
      </c>
      <c r="G112">
        <v>241.46</v>
      </c>
      <c r="H112">
        <v>88.92</v>
      </c>
      <c r="I112">
        <v>7.88</v>
      </c>
      <c r="J112" t="s">
        <v>32</v>
      </c>
      <c r="K112" t="s">
        <v>19</v>
      </c>
      <c r="L112">
        <v>49.68</v>
      </c>
      <c r="M112" s="5">
        <v>45337</v>
      </c>
      <c r="N112" s="5">
        <v>45482</v>
      </c>
      <c r="O112" s="5" t="str">
        <f>TEXT(Table1[[#This Row],[harvest_date]],"mmmm")</f>
        <v>July</v>
      </c>
      <c r="P112">
        <v>145</v>
      </c>
      <c r="Q112">
        <v>5668.46</v>
      </c>
      <c r="R112" t="s">
        <v>290</v>
      </c>
      <c r="S112" s="5">
        <v>45433</v>
      </c>
      <c r="T112">
        <v>19.391138000000002</v>
      </c>
      <c r="U112">
        <v>83.654606999999999</v>
      </c>
      <c r="V112">
        <v>0.7</v>
      </c>
      <c r="W112" t="s">
        <v>30</v>
      </c>
      <c r="X112">
        <v>145</v>
      </c>
      <c r="Y112" t="s">
        <v>67</v>
      </c>
      <c r="Z112" t="s">
        <v>82</v>
      </c>
    </row>
    <row r="113" spans="1:26" x14ac:dyDescent="0.35">
      <c r="A113" t="s">
        <v>291</v>
      </c>
      <c r="B113" t="s">
        <v>1</v>
      </c>
      <c r="C113" t="s">
        <v>13</v>
      </c>
      <c r="D113">
        <v>16.25</v>
      </c>
      <c r="E113">
        <v>6.57</v>
      </c>
      <c r="F113">
        <v>25.58</v>
      </c>
      <c r="G113">
        <v>231.96</v>
      </c>
      <c r="H113">
        <v>51.13</v>
      </c>
      <c r="I113">
        <v>4.0199999999999996</v>
      </c>
      <c r="J113" t="s">
        <v>69</v>
      </c>
      <c r="K113" t="s">
        <v>19</v>
      </c>
      <c r="L113">
        <v>25.84</v>
      </c>
      <c r="M113" s="5">
        <v>45369</v>
      </c>
      <c r="N113" s="5">
        <v>45486</v>
      </c>
      <c r="O113" s="5" t="str">
        <f>TEXT(Table1[[#This Row],[harvest_date]],"mmmm")</f>
        <v>July</v>
      </c>
      <c r="P113">
        <v>117</v>
      </c>
      <c r="Q113">
        <v>4127.7299999999996</v>
      </c>
      <c r="R113" t="s">
        <v>292</v>
      </c>
      <c r="S113" s="5">
        <v>45474</v>
      </c>
      <c r="T113">
        <v>15.741602</v>
      </c>
      <c r="U113">
        <v>79.212506000000005</v>
      </c>
      <c r="V113">
        <v>0.39</v>
      </c>
      <c r="W113" t="s">
        <v>30</v>
      </c>
      <c r="X113">
        <v>117</v>
      </c>
      <c r="Y113" t="s">
        <v>62</v>
      </c>
      <c r="Z113" t="s">
        <v>72</v>
      </c>
    </row>
    <row r="114" spans="1:26" x14ac:dyDescent="0.35">
      <c r="A114" t="s">
        <v>293</v>
      </c>
      <c r="B114" t="s">
        <v>3</v>
      </c>
      <c r="C114" t="s">
        <v>13</v>
      </c>
      <c r="D114">
        <v>38.33</v>
      </c>
      <c r="E114">
        <v>6.34</v>
      </c>
      <c r="F114">
        <v>30.32</v>
      </c>
      <c r="G114">
        <v>270.94</v>
      </c>
      <c r="H114">
        <v>40.78</v>
      </c>
      <c r="I114">
        <v>5.24</v>
      </c>
      <c r="J114" t="s">
        <v>69</v>
      </c>
      <c r="K114" t="s">
        <v>17</v>
      </c>
      <c r="L114">
        <v>6.51</v>
      </c>
      <c r="M114" s="5">
        <v>45373</v>
      </c>
      <c r="N114" s="5">
        <v>45508</v>
      </c>
      <c r="O114" s="5" t="str">
        <f>TEXT(Table1[[#This Row],[harvest_date]],"mmmm")</f>
        <v>August</v>
      </c>
      <c r="P114">
        <v>135</v>
      </c>
      <c r="Q114">
        <v>5488.85</v>
      </c>
      <c r="R114" t="s">
        <v>294</v>
      </c>
      <c r="S114" s="5">
        <v>45435</v>
      </c>
      <c r="T114">
        <v>28.513527</v>
      </c>
      <c r="U114">
        <v>78.045306999999994</v>
      </c>
      <c r="V114">
        <v>0.44</v>
      </c>
      <c r="W114" t="s">
        <v>30</v>
      </c>
      <c r="X114">
        <v>135</v>
      </c>
      <c r="Y114" t="s">
        <v>67</v>
      </c>
      <c r="Z114" t="s">
        <v>63</v>
      </c>
    </row>
    <row r="115" spans="1:26" x14ac:dyDescent="0.35">
      <c r="A115" t="s">
        <v>295</v>
      </c>
      <c r="B115" t="s">
        <v>3</v>
      </c>
      <c r="C115" t="s">
        <v>10</v>
      </c>
      <c r="D115">
        <v>27.64</v>
      </c>
      <c r="E115">
        <v>6.08</v>
      </c>
      <c r="F115">
        <v>31.32</v>
      </c>
      <c r="G115">
        <v>232.88</v>
      </c>
      <c r="H115">
        <v>55.95</v>
      </c>
      <c r="I115">
        <v>7.59</v>
      </c>
      <c r="J115" t="s">
        <v>80</v>
      </c>
      <c r="K115" t="s">
        <v>18</v>
      </c>
      <c r="L115">
        <v>18.579999999999998</v>
      </c>
      <c r="M115" s="5">
        <v>45313</v>
      </c>
      <c r="N115" s="5">
        <v>45436</v>
      </c>
      <c r="O115" s="5" t="str">
        <f>TEXT(Table1[[#This Row],[harvest_date]],"mmmm")</f>
        <v>May</v>
      </c>
      <c r="P115">
        <v>123</v>
      </c>
      <c r="Q115">
        <v>2884.17</v>
      </c>
      <c r="R115" t="s">
        <v>296</v>
      </c>
      <c r="S115" s="5">
        <v>45351</v>
      </c>
      <c r="T115">
        <v>16.878848000000001</v>
      </c>
      <c r="U115">
        <v>81.134361999999996</v>
      </c>
      <c r="V115">
        <v>0.66</v>
      </c>
      <c r="W115" t="s">
        <v>30</v>
      </c>
      <c r="X115">
        <v>123</v>
      </c>
      <c r="Y115" t="s">
        <v>71</v>
      </c>
      <c r="Z115" t="s">
        <v>72</v>
      </c>
    </row>
    <row r="116" spans="1:26" x14ac:dyDescent="0.35">
      <c r="A116" t="s">
        <v>297</v>
      </c>
      <c r="B116" t="s">
        <v>5</v>
      </c>
      <c r="C116" t="s">
        <v>12</v>
      </c>
      <c r="D116">
        <v>27.35</v>
      </c>
      <c r="E116">
        <v>7.44</v>
      </c>
      <c r="F116">
        <v>33.83</v>
      </c>
      <c r="G116">
        <v>217.84</v>
      </c>
      <c r="H116">
        <v>79.290000000000006</v>
      </c>
      <c r="I116">
        <v>5.91</v>
      </c>
      <c r="J116" t="s">
        <v>32</v>
      </c>
      <c r="K116" t="s">
        <v>19</v>
      </c>
      <c r="L116">
        <v>11.71</v>
      </c>
      <c r="M116" s="5">
        <v>45328</v>
      </c>
      <c r="N116" s="5">
        <v>45466</v>
      </c>
      <c r="O116" s="5" t="str">
        <f>TEXT(Table1[[#This Row],[harvest_date]],"mmmm")</f>
        <v>June</v>
      </c>
      <c r="P116">
        <v>138</v>
      </c>
      <c r="Q116">
        <v>4151.71</v>
      </c>
      <c r="R116" t="s">
        <v>298</v>
      </c>
      <c r="S116" s="5">
        <v>45389</v>
      </c>
      <c r="T116">
        <v>31.233523000000002</v>
      </c>
      <c r="U116">
        <v>76.014728000000005</v>
      </c>
      <c r="V116">
        <v>0.72</v>
      </c>
      <c r="W116" t="s">
        <v>33</v>
      </c>
      <c r="X116">
        <v>138</v>
      </c>
      <c r="Y116" t="s">
        <v>62</v>
      </c>
      <c r="Z116" t="s">
        <v>63</v>
      </c>
    </row>
    <row r="117" spans="1:26" x14ac:dyDescent="0.35">
      <c r="A117" t="s">
        <v>299</v>
      </c>
      <c r="B117" t="s">
        <v>3</v>
      </c>
      <c r="C117" t="s">
        <v>12</v>
      </c>
      <c r="D117">
        <v>24.44</v>
      </c>
      <c r="E117">
        <v>6.33</v>
      </c>
      <c r="F117">
        <v>25.6</v>
      </c>
      <c r="G117">
        <v>147.1</v>
      </c>
      <c r="H117">
        <v>52.75</v>
      </c>
      <c r="I117">
        <v>5.98</v>
      </c>
      <c r="J117" t="s">
        <v>69</v>
      </c>
      <c r="K117" t="s">
        <v>19</v>
      </c>
      <c r="L117">
        <v>43.12</v>
      </c>
      <c r="M117" s="5">
        <v>45309</v>
      </c>
      <c r="N117" s="5">
        <v>45445</v>
      </c>
      <c r="O117" s="5" t="str">
        <f>TEXT(Table1[[#This Row],[harvest_date]],"mmmm")</f>
        <v>June</v>
      </c>
      <c r="P117">
        <v>136</v>
      </c>
      <c r="Q117">
        <v>5317.63</v>
      </c>
      <c r="R117" t="s">
        <v>300</v>
      </c>
      <c r="S117" s="5">
        <v>45322</v>
      </c>
      <c r="T117">
        <v>16.711539999999999</v>
      </c>
      <c r="U117">
        <v>83.473438000000002</v>
      </c>
      <c r="V117">
        <v>0.66</v>
      </c>
      <c r="W117" t="s">
        <v>32</v>
      </c>
      <c r="X117">
        <v>136</v>
      </c>
      <c r="Y117" t="s">
        <v>67</v>
      </c>
      <c r="Z117" t="s">
        <v>82</v>
      </c>
    </row>
    <row r="118" spans="1:26" x14ac:dyDescent="0.35">
      <c r="A118" t="s">
        <v>301</v>
      </c>
      <c r="B118" t="s">
        <v>4</v>
      </c>
      <c r="C118" t="s">
        <v>12</v>
      </c>
      <c r="D118">
        <v>35.35</v>
      </c>
      <c r="E118">
        <v>6.62</v>
      </c>
      <c r="F118">
        <v>24.59</v>
      </c>
      <c r="G118">
        <v>267.37</v>
      </c>
      <c r="H118">
        <v>56.65</v>
      </c>
      <c r="I118">
        <v>9.74</v>
      </c>
      <c r="J118" t="s">
        <v>69</v>
      </c>
      <c r="K118" t="s">
        <v>18</v>
      </c>
      <c r="L118">
        <v>47.17</v>
      </c>
      <c r="M118" s="5">
        <v>45355</v>
      </c>
      <c r="N118" s="5">
        <v>45492</v>
      </c>
      <c r="O118" s="5" t="str">
        <f>TEXT(Table1[[#This Row],[harvest_date]],"mmmm")</f>
        <v>July</v>
      </c>
      <c r="P118">
        <v>137</v>
      </c>
      <c r="Q118">
        <v>5998.29</v>
      </c>
      <c r="R118" t="s">
        <v>302</v>
      </c>
      <c r="S118" s="5">
        <v>45477</v>
      </c>
      <c r="T118">
        <v>32.861032000000002</v>
      </c>
      <c r="U118">
        <v>83.912526</v>
      </c>
      <c r="V118">
        <v>0.72</v>
      </c>
      <c r="W118" t="s">
        <v>33</v>
      </c>
      <c r="X118">
        <v>137</v>
      </c>
      <c r="Y118" t="s">
        <v>67</v>
      </c>
      <c r="Z118" t="s">
        <v>82</v>
      </c>
    </row>
    <row r="119" spans="1:26" x14ac:dyDescent="0.35">
      <c r="A119" t="s">
        <v>303</v>
      </c>
      <c r="B119" t="s">
        <v>4</v>
      </c>
      <c r="C119" t="s">
        <v>12</v>
      </c>
      <c r="D119">
        <v>21.26</v>
      </c>
      <c r="E119">
        <v>6.07</v>
      </c>
      <c r="F119">
        <v>24.33</v>
      </c>
      <c r="G119">
        <v>212.18</v>
      </c>
      <c r="H119">
        <v>55.42</v>
      </c>
      <c r="I119">
        <v>6.16</v>
      </c>
      <c r="J119" t="s">
        <v>32</v>
      </c>
      <c r="K119" t="s">
        <v>19</v>
      </c>
      <c r="L119">
        <v>9.44</v>
      </c>
      <c r="M119" s="5">
        <v>45367</v>
      </c>
      <c r="N119" s="5">
        <v>45505</v>
      </c>
      <c r="O119" s="5" t="str">
        <f>TEXT(Table1[[#This Row],[harvest_date]],"mmmm")</f>
        <v>August</v>
      </c>
      <c r="P119">
        <v>138</v>
      </c>
      <c r="Q119">
        <v>5358.92</v>
      </c>
      <c r="R119" t="s">
        <v>304</v>
      </c>
      <c r="S119" s="5">
        <v>45419</v>
      </c>
      <c r="T119">
        <v>19.267623</v>
      </c>
      <c r="U119">
        <v>78.278603000000004</v>
      </c>
      <c r="V119">
        <v>0.64</v>
      </c>
      <c r="W119" t="s">
        <v>30</v>
      </c>
      <c r="X119">
        <v>138</v>
      </c>
      <c r="Y119" t="s">
        <v>67</v>
      </c>
      <c r="Z119" t="s">
        <v>63</v>
      </c>
    </row>
    <row r="120" spans="1:26" x14ac:dyDescent="0.35">
      <c r="A120" t="s">
        <v>305</v>
      </c>
      <c r="B120" t="s">
        <v>4</v>
      </c>
      <c r="C120" t="s">
        <v>13</v>
      </c>
      <c r="D120">
        <v>19.13</v>
      </c>
      <c r="E120">
        <v>7.37</v>
      </c>
      <c r="F120">
        <v>26.58</v>
      </c>
      <c r="G120">
        <v>154.38999999999999</v>
      </c>
      <c r="H120">
        <v>47.62</v>
      </c>
      <c r="I120">
        <v>5.98</v>
      </c>
      <c r="J120" t="s">
        <v>32</v>
      </c>
      <c r="K120" t="s">
        <v>17</v>
      </c>
      <c r="L120">
        <v>42.5</v>
      </c>
      <c r="M120" s="5">
        <v>45340</v>
      </c>
      <c r="N120" s="5">
        <v>45471</v>
      </c>
      <c r="O120" s="5" t="str">
        <f>TEXT(Table1[[#This Row],[harvest_date]],"mmmm")</f>
        <v>June</v>
      </c>
      <c r="P120">
        <v>131</v>
      </c>
      <c r="Q120">
        <v>5773.86</v>
      </c>
      <c r="R120" t="s">
        <v>306</v>
      </c>
      <c r="S120" s="5">
        <v>45426</v>
      </c>
      <c r="T120">
        <v>16.433168999999999</v>
      </c>
      <c r="U120">
        <v>86.431838999999997</v>
      </c>
      <c r="V120">
        <v>0.88</v>
      </c>
      <c r="W120" t="s">
        <v>33</v>
      </c>
      <c r="X120">
        <v>131</v>
      </c>
      <c r="Y120" t="s">
        <v>67</v>
      </c>
      <c r="Z120" t="s">
        <v>82</v>
      </c>
    </row>
    <row r="121" spans="1:26" x14ac:dyDescent="0.35">
      <c r="A121" t="s">
        <v>307</v>
      </c>
      <c r="B121" t="s">
        <v>5</v>
      </c>
      <c r="C121" t="s">
        <v>10</v>
      </c>
      <c r="D121">
        <v>35.65</v>
      </c>
      <c r="E121">
        <v>6.2</v>
      </c>
      <c r="F121">
        <v>17.8</v>
      </c>
      <c r="G121">
        <v>186.64</v>
      </c>
      <c r="H121">
        <v>49.2</v>
      </c>
      <c r="I121">
        <v>9.34</v>
      </c>
      <c r="J121" t="s">
        <v>69</v>
      </c>
      <c r="K121" t="s">
        <v>17</v>
      </c>
      <c r="L121">
        <v>6.52</v>
      </c>
      <c r="M121" s="5">
        <v>45318</v>
      </c>
      <c r="N121" s="5">
        <v>45450</v>
      </c>
      <c r="O121" s="5" t="str">
        <f>TEXT(Table1[[#This Row],[harvest_date]],"mmmm")</f>
        <v>June</v>
      </c>
      <c r="P121">
        <v>132</v>
      </c>
      <c r="Q121">
        <v>2194.06</v>
      </c>
      <c r="R121" t="s">
        <v>308</v>
      </c>
      <c r="S121" s="5">
        <v>45319</v>
      </c>
      <c r="T121">
        <v>20.309805999999998</v>
      </c>
      <c r="U121">
        <v>86.850893999999997</v>
      </c>
      <c r="V121">
        <v>0.44</v>
      </c>
      <c r="W121" t="s">
        <v>30</v>
      </c>
      <c r="X121">
        <v>132</v>
      </c>
      <c r="Y121" t="s">
        <v>71</v>
      </c>
      <c r="Z121" t="s">
        <v>63</v>
      </c>
    </row>
    <row r="122" spans="1:26" x14ac:dyDescent="0.35">
      <c r="A122" t="s">
        <v>309</v>
      </c>
      <c r="B122" t="s">
        <v>3</v>
      </c>
      <c r="C122" t="s">
        <v>10</v>
      </c>
      <c r="D122">
        <v>27.7</v>
      </c>
      <c r="E122">
        <v>6.25</v>
      </c>
      <c r="F122">
        <v>27.36</v>
      </c>
      <c r="G122">
        <v>216.69</v>
      </c>
      <c r="H122">
        <v>70.83</v>
      </c>
      <c r="I122">
        <v>6.9</v>
      </c>
      <c r="J122" t="s">
        <v>32</v>
      </c>
      <c r="K122" t="s">
        <v>18</v>
      </c>
      <c r="L122">
        <v>5.3</v>
      </c>
      <c r="M122" s="5">
        <v>45365</v>
      </c>
      <c r="N122" s="5">
        <v>45455</v>
      </c>
      <c r="O122" s="5" t="str">
        <f>TEXT(Table1[[#This Row],[harvest_date]],"mmmm")</f>
        <v>June</v>
      </c>
      <c r="P122">
        <v>90</v>
      </c>
      <c r="Q122">
        <v>2066.9</v>
      </c>
      <c r="R122" t="s">
        <v>310</v>
      </c>
      <c r="S122" s="5">
        <v>45400</v>
      </c>
      <c r="T122">
        <v>23.393453000000001</v>
      </c>
      <c r="U122">
        <v>75.733771000000004</v>
      </c>
      <c r="V122">
        <v>0.6</v>
      </c>
      <c r="W122" t="s">
        <v>33</v>
      </c>
      <c r="X122">
        <v>90</v>
      </c>
      <c r="Y122" t="s">
        <v>71</v>
      </c>
      <c r="Z122" t="s">
        <v>63</v>
      </c>
    </row>
    <row r="123" spans="1:26" x14ac:dyDescent="0.35">
      <c r="A123" t="s">
        <v>311</v>
      </c>
      <c r="B123" t="s">
        <v>4</v>
      </c>
      <c r="C123" t="s">
        <v>13</v>
      </c>
      <c r="D123">
        <v>42.13</v>
      </c>
      <c r="E123">
        <v>6.55</v>
      </c>
      <c r="F123">
        <v>19.82</v>
      </c>
      <c r="G123">
        <v>204.95</v>
      </c>
      <c r="H123">
        <v>52.62</v>
      </c>
      <c r="I123">
        <v>6.13</v>
      </c>
      <c r="J123" t="s">
        <v>32</v>
      </c>
      <c r="K123" t="s">
        <v>18</v>
      </c>
      <c r="L123">
        <v>21.79</v>
      </c>
      <c r="M123" s="5">
        <v>45337</v>
      </c>
      <c r="N123" s="5">
        <v>45463</v>
      </c>
      <c r="O123" s="5" t="str">
        <f>TEXT(Table1[[#This Row],[harvest_date]],"mmmm")</f>
        <v>June</v>
      </c>
      <c r="P123">
        <v>126</v>
      </c>
      <c r="Q123">
        <v>2972.83</v>
      </c>
      <c r="R123" t="s">
        <v>312</v>
      </c>
      <c r="S123" s="5">
        <v>45426</v>
      </c>
      <c r="T123">
        <v>15.646431</v>
      </c>
      <c r="U123">
        <v>83.680833000000007</v>
      </c>
      <c r="V123">
        <v>0.81</v>
      </c>
      <c r="W123" t="s">
        <v>32</v>
      </c>
      <c r="X123">
        <v>126</v>
      </c>
      <c r="Y123" t="s">
        <v>71</v>
      </c>
      <c r="Z123" t="s">
        <v>72</v>
      </c>
    </row>
    <row r="124" spans="1:26" x14ac:dyDescent="0.35">
      <c r="A124" t="s">
        <v>313</v>
      </c>
      <c r="B124" t="s">
        <v>3</v>
      </c>
      <c r="C124" t="s">
        <v>11</v>
      </c>
      <c r="D124">
        <v>23.27</v>
      </c>
      <c r="E124">
        <v>6.61</v>
      </c>
      <c r="F124">
        <v>16.12</v>
      </c>
      <c r="G124">
        <v>52.36</v>
      </c>
      <c r="H124">
        <v>48.57</v>
      </c>
      <c r="I124">
        <v>7</v>
      </c>
      <c r="J124" t="s">
        <v>32</v>
      </c>
      <c r="K124" t="s">
        <v>17</v>
      </c>
      <c r="L124">
        <v>40.299999999999997</v>
      </c>
      <c r="M124" s="5">
        <v>45379</v>
      </c>
      <c r="N124" s="5">
        <v>45475</v>
      </c>
      <c r="O124" s="5" t="str">
        <f>TEXT(Table1[[#This Row],[harvest_date]],"mmmm")</f>
        <v>July</v>
      </c>
      <c r="P124">
        <v>96</v>
      </c>
      <c r="Q124">
        <v>5579.16</v>
      </c>
      <c r="R124" t="s">
        <v>314</v>
      </c>
      <c r="S124" s="5">
        <v>45384</v>
      </c>
      <c r="T124">
        <v>15.744161999999999</v>
      </c>
      <c r="U124">
        <v>88.025458999999998</v>
      </c>
      <c r="V124">
        <v>0.72</v>
      </c>
      <c r="W124" t="s">
        <v>33</v>
      </c>
      <c r="X124">
        <v>96</v>
      </c>
      <c r="Y124" t="s">
        <v>67</v>
      </c>
      <c r="Z124" t="s">
        <v>82</v>
      </c>
    </row>
    <row r="125" spans="1:26" x14ac:dyDescent="0.35">
      <c r="A125" t="s">
        <v>315</v>
      </c>
      <c r="B125" t="s">
        <v>1</v>
      </c>
      <c r="C125" t="s">
        <v>13</v>
      </c>
      <c r="D125">
        <v>42.35</v>
      </c>
      <c r="E125">
        <v>6.87</v>
      </c>
      <c r="F125">
        <v>20.61</v>
      </c>
      <c r="G125">
        <v>185.76</v>
      </c>
      <c r="H125">
        <v>72.91</v>
      </c>
      <c r="I125">
        <v>5.08</v>
      </c>
      <c r="J125" t="s">
        <v>80</v>
      </c>
      <c r="K125" t="s">
        <v>18</v>
      </c>
      <c r="L125">
        <v>48.27</v>
      </c>
      <c r="M125" s="5">
        <v>45356</v>
      </c>
      <c r="N125" s="5">
        <v>45494</v>
      </c>
      <c r="O125" s="5" t="str">
        <f>TEXT(Table1[[#This Row],[harvest_date]],"mmmm")</f>
        <v>July</v>
      </c>
      <c r="P125">
        <v>138</v>
      </c>
      <c r="Q125">
        <v>5282.76</v>
      </c>
      <c r="R125" t="s">
        <v>316</v>
      </c>
      <c r="S125" s="5">
        <v>45457</v>
      </c>
      <c r="T125">
        <v>33.221874</v>
      </c>
      <c r="U125">
        <v>75.985538000000005</v>
      </c>
      <c r="V125">
        <v>0.64</v>
      </c>
      <c r="W125" t="s">
        <v>33</v>
      </c>
      <c r="X125">
        <v>138</v>
      </c>
      <c r="Y125" t="s">
        <v>67</v>
      </c>
      <c r="Z125" t="s">
        <v>82</v>
      </c>
    </row>
    <row r="126" spans="1:26" x14ac:dyDescent="0.35">
      <c r="A126" t="s">
        <v>317</v>
      </c>
      <c r="B126" t="s">
        <v>2</v>
      </c>
      <c r="C126" t="s">
        <v>14</v>
      </c>
      <c r="D126">
        <v>23.43</v>
      </c>
      <c r="E126">
        <v>6.98</v>
      </c>
      <c r="F126">
        <v>30.81</v>
      </c>
      <c r="G126">
        <v>222.33</v>
      </c>
      <c r="H126">
        <v>43.92</v>
      </c>
      <c r="I126">
        <v>8.4700000000000006</v>
      </c>
      <c r="J126" t="s">
        <v>80</v>
      </c>
      <c r="K126" t="s">
        <v>18</v>
      </c>
      <c r="L126">
        <v>9.4</v>
      </c>
      <c r="M126" s="5">
        <v>45318</v>
      </c>
      <c r="N126" s="5">
        <v>45412</v>
      </c>
      <c r="O126" s="5" t="str">
        <f>TEXT(Table1[[#This Row],[harvest_date]],"mmmm")</f>
        <v>April</v>
      </c>
      <c r="P126">
        <v>94</v>
      </c>
      <c r="Q126">
        <v>3362.37</v>
      </c>
      <c r="R126" t="s">
        <v>318</v>
      </c>
      <c r="S126" s="5">
        <v>45396</v>
      </c>
      <c r="T126">
        <v>33.871459999999999</v>
      </c>
      <c r="U126">
        <v>77.934061</v>
      </c>
      <c r="V126">
        <v>0.76</v>
      </c>
      <c r="W126" t="s">
        <v>32</v>
      </c>
      <c r="X126">
        <v>94</v>
      </c>
      <c r="Y126" t="s">
        <v>62</v>
      </c>
      <c r="Z126" t="s">
        <v>63</v>
      </c>
    </row>
    <row r="127" spans="1:26" x14ac:dyDescent="0.35">
      <c r="A127" t="s">
        <v>319</v>
      </c>
      <c r="B127" t="s">
        <v>1</v>
      </c>
      <c r="C127" t="s">
        <v>11</v>
      </c>
      <c r="D127">
        <v>27.17</v>
      </c>
      <c r="E127">
        <v>6.21</v>
      </c>
      <c r="F127">
        <v>33.82</v>
      </c>
      <c r="G127">
        <v>157.96</v>
      </c>
      <c r="H127">
        <v>73.98</v>
      </c>
      <c r="I127">
        <v>7.96</v>
      </c>
      <c r="J127" t="s">
        <v>69</v>
      </c>
      <c r="K127" t="s">
        <v>17</v>
      </c>
      <c r="L127">
        <v>18.29</v>
      </c>
      <c r="M127" s="5">
        <v>45314</v>
      </c>
      <c r="N127" s="5">
        <v>45408</v>
      </c>
      <c r="O127" s="5" t="str">
        <f>TEXT(Table1[[#This Row],[harvest_date]],"mmmm")</f>
        <v>April</v>
      </c>
      <c r="P127">
        <v>94</v>
      </c>
      <c r="Q127">
        <v>2328.15</v>
      </c>
      <c r="R127" t="s">
        <v>320</v>
      </c>
      <c r="S127" s="5">
        <v>45333</v>
      </c>
      <c r="T127">
        <v>19.5</v>
      </c>
      <c r="U127">
        <v>85.677806000000004</v>
      </c>
      <c r="V127">
        <v>0.39</v>
      </c>
      <c r="W127" t="s">
        <v>33</v>
      </c>
      <c r="X127">
        <v>94</v>
      </c>
      <c r="Y127" t="s">
        <v>71</v>
      </c>
      <c r="Z127" t="s">
        <v>72</v>
      </c>
    </row>
    <row r="128" spans="1:26" x14ac:dyDescent="0.35">
      <c r="A128" t="s">
        <v>321</v>
      </c>
      <c r="B128" t="s">
        <v>1</v>
      </c>
      <c r="C128" t="s">
        <v>14</v>
      </c>
      <c r="D128">
        <v>13.73</v>
      </c>
      <c r="E128">
        <v>5.51</v>
      </c>
      <c r="F128">
        <v>21.17</v>
      </c>
      <c r="G128">
        <v>139.97999999999999</v>
      </c>
      <c r="H128">
        <v>53.49</v>
      </c>
      <c r="I128">
        <v>4.8</v>
      </c>
      <c r="J128" t="s">
        <v>65</v>
      </c>
      <c r="K128" t="s">
        <v>19</v>
      </c>
      <c r="L128">
        <v>25.2</v>
      </c>
      <c r="M128" s="5">
        <v>45368</v>
      </c>
      <c r="N128" s="5">
        <v>45484</v>
      </c>
      <c r="O128" s="5" t="str">
        <f>TEXT(Table1[[#This Row],[harvest_date]],"mmmm")</f>
        <v>July</v>
      </c>
      <c r="P128">
        <v>116</v>
      </c>
      <c r="Q128">
        <v>2413.17</v>
      </c>
      <c r="R128" t="s">
        <v>322</v>
      </c>
      <c r="S128" s="5">
        <v>45379</v>
      </c>
      <c r="T128">
        <v>18.847857000000001</v>
      </c>
      <c r="U128">
        <v>71.861284999999995</v>
      </c>
      <c r="V128">
        <v>0.66</v>
      </c>
      <c r="W128" t="s">
        <v>31</v>
      </c>
      <c r="X128">
        <v>116</v>
      </c>
      <c r="Y128" t="s">
        <v>71</v>
      </c>
      <c r="Z128" t="s">
        <v>72</v>
      </c>
    </row>
    <row r="129" spans="1:26" x14ac:dyDescent="0.35">
      <c r="A129" t="s">
        <v>323</v>
      </c>
      <c r="B129" t="s">
        <v>5</v>
      </c>
      <c r="C129" t="s">
        <v>13</v>
      </c>
      <c r="D129">
        <v>20.21</v>
      </c>
      <c r="E129">
        <v>6.28</v>
      </c>
      <c r="F129">
        <v>16.690000000000001</v>
      </c>
      <c r="G129">
        <v>275.27999999999997</v>
      </c>
      <c r="H129">
        <v>85.26</v>
      </c>
      <c r="I129">
        <v>9.8699999999999992</v>
      </c>
      <c r="J129" t="s">
        <v>65</v>
      </c>
      <c r="K129" t="s">
        <v>17</v>
      </c>
      <c r="L129">
        <v>22.13</v>
      </c>
      <c r="M129" s="5">
        <v>45300</v>
      </c>
      <c r="N129" s="5">
        <v>45409</v>
      </c>
      <c r="O129" s="5" t="str">
        <f>TEXT(Table1[[#This Row],[harvest_date]],"mmmm")</f>
        <v>April</v>
      </c>
      <c r="P129">
        <v>109</v>
      </c>
      <c r="Q129">
        <v>3073.63</v>
      </c>
      <c r="R129" t="s">
        <v>324</v>
      </c>
      <c r="S129" s="5">
        <v>45318</v>
      </c>
      <c r="T129">
        <v>11.581678999999999</v>
      </c>
      <c r="U129">
        <v>78.693524999999994</v>
      </c>
      <c r="V129">
        <v>0.55000000000000004</v>
      </c>
      <c r="W129" t="s">
        <v>33</v>
      </c>
      <c r="X129">
        <v>109</v>
      </c>
      <c r="Y129" t="s">
        <v>62</v>
      </c>
      <c r="Z129" t="s">
        <v>72</v>
      </c>
    </row>
    <row r="130" spans="1:26" x14ac:dyDescent="0.35">
      <c r="A130" t="s">
        <v>325</v>
      </c>
      <c r="B130" t="s">
        <v>3</v>
      </c>
      <c r="C130" t="s">
        <v>14</v>
      </c>
      <c r="D130">
        <v>18.809999999999999</v>
      </c>
      <c r="E130">
        <v>5.99</v>
      </c>
      <c r="F130">
        <v>27.5</v>
      </c>
      <c r="G130">
        <v>198.45</v>
      </c>
      <c r="H130">
        <v>49.78</v>
      </c>
      <c r="I130">
        <v>4.6399999999999997</v>
      </c>
      <c r="J130" t="s">
        <v>80</v>
      </c>
      <c r="K130" t="s">
        <v>18</v>
      </c>
      <c r="L130">
        <v>47.7</v>
      </c>
      <c r="M130" s="5">
        <v>45349</v>
      </c>
      <c r="N130" s="5">
        <v>45478</v>
      </c>
      <c r="O130" s="5" t="str">
        <f>TEXT(Table1[[#This Row],[harvest_date]],"mmmm")</f>
        <v>July</v>
      </c>
      <c r="P130">
        <v>129</v>
      </c>
      <c r="Q130">
        <v>3519.56</v>
      </c>
      <c r="R130" t="s">
        <v>326</v>
      </c>
      <c r="S130" s="5">
        <v>45433</v>
      </c>
      <c r="T130">
        <v>21.005572999999998</v>
      </c>
      <c r="U130">
        <v>78.612324000000001</v>
      </c>
      <c r="V130">
        <v>0.79</v>
      </c>
      <c r="W130" t="s">
        <v>30</v>
      </c>
      <c r="X130">
        <v>129</v>
      </c>
      <c r="Y130" t="s">
        <v>62</v>
      </c>
      <c r="Z130" t="s">
        <v>82</v>
      </c>
    </row>
    <row r="131" spans="1:26" x14ac:dyDescent="0.35">
      <c r="A131" t="s">
        <v>327</v>
      </c>
      <c r="B131" t="s">
        <v>1</v>
      </c>
      <c r="C131" t="s">
        <v>14</v>
      </c>
      <c r="D131">
        <v>31.11</v>
      </c>
      <c r="E131">
        <v>6.89</v>
      </c>
      <c r="F131">
        <v>24.58</v>
      </c>
      <c r="G131">
        <v>94.41</v>
      </c>
      <c r="H131">
        <v>59.91</v>
      </c>
      <c r="I131">
        <v>5.91</v>
      </c>
      <c r="J131" t="s">
        <v>32</v>
      </c>
      <c r="K131" t="s">
        <v>17</v>
      </c>
      <c r="L131">
        <v>40.19</v>
      </c>
      <c r="M131" s="5">
        <v>45335</v>
      </c>
      <c r="N131" s="5">
        <v>45442</v>
      </c>
      <c r="O131" s="5" t="str">
        <f>TEXT(Table1[[#This Row],[harvest_date]],"mmmm")</f>
        <v>May</v>
      </c>
      <c r="P131">
        <v>107</v>
      </c>
      <c r="Q131">
        <v>5265.98</v>
      </c>
      <c r="R131" t="s">
        <v>328</v>
      </c>
      <c r="S131" s="5">
        <v>45385</v>
      </c>
      <c r="T131">
        <v>19.125388000000001</v>
      </c>
      <c r="U131">
        <v>88.641343000000006</v>
      </c>
      <c r="V131">
        <v>0.42</v>
      </c>
      <c r="W131" t="s">
        <v>30</v>
      </c>
      <c r="X131">
        <v>107</v>
      </c>
      <c r="Y131" t="s">
        <v>67</v>
      </c>
      <c r="Z131" t="s">
        <v>82</v>
      </c>
    </row>
    <row r="132" spans="1:26" x14ac:dyDescent="0.35">
      <c r="A132" t="s">
        <v>329</v>
      </c>
      <c r="B132" t="s">
        <v>2</v>
      </c>
      <c r="C132" t="s">
        <v>13</v>
      </c>
      <c r="D132">
        <v>43.36</v>
      </c>
      <c r="E132">
        <v>6.42</v>
      </c>
      <c r="F132">
        <v>29.17</v>
      </c>
      <c r="G132">
        <v>159.61000000000001</v>
      </c>
      <c r="H132">
        <v>54.57</v>
      </c>
      <c r="I132">
        <v>8.16</v>
      </c>
      <c r="J132" t="s">
        <v>32</v>
      </c>
      <c r="K132" t="s">
        <v>17</v>
      </c>
      <c r="L132">
        <v>27.47</v>
      </c>
      <c r="M132" s="5">
        <v>45361</v>
      </c>
      <c r="N132" s="5">
        <v>45466</v>
      </c>
      <c r="O132" s="5" t="str">
        <f>TEXT(Table1[[#This Row],[harvest_date]],"mmmm")</f>
        <v>June</v>
      </c>
      <c r="P132">
        <v>105</v>
      </c>
      <c r="Q132">
        <v>3010.73</v>
      </c>
      <c r="R132" t="s">
        <v>330</v>
      </c>
      <c r="S132" s="5">
        <v>45380</v>
      </c>
      <c r="T132">
        <v>27.88091</v>
      </c>
      <c r="U132">
        <v>85.781535000000005</v>
      </c>
      <c r="V132">
        <v>0.34</v>
      </c>
      <c r="W132" t="s">
        <v>33</v>
      </c>
      <c r="X132">
        <v>105</v>
      </c>
      <c r="Y132" t="s">
        <v>62</v>
      </c>
      <c r="Z132" t="s">
        <v>72</v>
      </c>
    </row>
    <row r="133" spans="1:26" x14ac:dyDescent="0.35">
      <c r="A133" t="s">
        <v>331</v>
      </c>
      <c r="B133" t="s">
        <v>2</v>
      </c>
      <c r="C133" t="s">
        <v>11</v>
      </c>
      <c r="D133">
        <v>28.7</v>
      </c>
      <c r="E133">
        <v>7.35</v>
      </c>
      <c r="F133">
        <v>32.39</v>
      </c>
      <c r="G133">
        <v>154.58000000000001</v>
      </c>
      <c r="H133">
        <v>41.84</v>
      </c>
      <c r="I133">
        <v>9.81</v>
      </c>
      <c r="J133" t="s">
        <v>69</v>
      </c>
      <c r="K133" t="s">
        <v>18</v>
      </c>
      <c r="L133">
        <v>39.6</v>
      </c>
      <c r="M133" s="5">
        <v>45373</v>
      </c>
      <c r="N133" s="5">
        <v>45485</v>
      </c>
      <c r="O133" s="5" t="str">
        <f>TEXT(Table1[[#This Row],[harvest_date]],"mmmm")</f>
        <v>July</v>
      </c>
      <c r="P133">
        <v>112</v>
      </c>
      <c r="Q133">
        <v>2665.35</v>
      </c>
      <c r="R133" t="s">
        <v>332</v>
      </c>
      <c r="S133" s="5">
        <v>45451</v>
      </c>
      <c r="T133">
        <v>11.107417</v>
      </c>
      <c r="U133">
        <v>89.672163999999995</v>
      </c>
      <c r="V133">
        <v>0.71</v>
      </c>
      <c r="W133" t="s">
        <v>33</v>
      </c>
      <c r="X133">
        <v>112</v>
      </c>
      <c r="Y133" t="s">
        <v>71</v>
      </c>
      <c r="Z133" t="s">
        <v>82</v>
      </c>
    </row>
    <row r="134" spans="1:26" x14ac:dyDescent="0.35">
      <c r="A134" t="s">
        <v>333</v>
      </c>
      <c r="B134" t="s">
        <v>1</v>
      </c>
      <c r="C134" t="s">
        <v>11</v>
      </c>
      <c r="D134">
        <v>13.71</v>
      </c>
      <c r="E134">
        <v>5.7</v>
      </c>
      <c r="F134">
        <v>19.440000000000001</v>
      </c>
      <c r="G134">
        <v>236.71</v>
      </c>
      <c r="H134">
        <v>67.900000000000006</v>
      </c>
      <c r="I134">
        <v>8.1300000000000008</v>
      </c>
      <c r="J134" t="s">
        <v>65</v>
      </c>
      <c r="K134" t="s">
        <v>19</v>
      </c>
      <c r="L134">
        <v>21.84</v>
      </c>
      <c r="M134" s="5">
        <v>45347</v>
      </c>
      <c r="N134" s="5">
        <v>45480</v>
      </c>
      <c r="O134" s="5" t="str">
        <f>TEXT(Table1[[#This Row],[harvest_date]],"mmmm")</f>
        <v>July</v>
      </c>
      <c r="P134">
        <v>133</v>
      </c>
      <c r="Q134">
        <v>4354.3599999999997</v>
      </c>
      <c r="R134" t="s">
        <v>334</v>
      </c>
      <c r="S134" s="5">
        <v>45475</v>
      </c>
      <c r="T134">
        <v>13.768623</v>
      </c>
      <c r="U134">
        <v>89.954054999999997</v>
      </c>
      <c r="V134">
        <v>0.59</v>
      </c>
      <c r="W134" t="s">
        <v>31</v>
      </c>
      <c r="X134">
        <v>133</v>
      </c>
      <c r="Y134" t="s">
        <v>62</v>
      </c>
      <c r="Z134" t="s">
        <v>72</v>
      </c>
    </row>
    <row r="135" spans="1:26" x14ac:dyDescent="0.35">
      <c r="A135" t="s">
        <v>335</v>
      </c>
      <c r="B135" t="s">
        <v>5</v>
      </c>
      <c r="C135" t="s">
        <v>13</v>
      </c>
      <c r="D135">
        <v>14.06</v>
      </c>
      <c r="E135">
        <v>7.38</v>
      </c>
      <c r="F135">
        <v>17.829999999999998</v>
      </c>
      <c r="G135">
        <v>127.97</v>
      </c>
      <c r="H135">
        <v>62.77</v>
      </c>
      <c r="I135">
        <v>5.24</v>
      </c>
      <c r="J135" t="s">
        <v>32</v>
      </c>
      <c r="K135" t="s">
        <v>19</v>
      </c>
      <c r="L135">
        <v>26.43</v>
      </c>
      <c r="M135" s="5">
        <v>45346</v>
      </c>
      <c r="N135" s="5">
        <v>45480</v>
      </c>
      <c r="O135" s="5" t="str">
        <f>TEXT(Table1[[#This Row],[harvest_date]],"mmmm")</f>
        <v>July</v>
      </c>
      <c r="P135">
        <v>134</v>
      </c>
      <c r="Q135">
        <v>3809.79</v>
      </c>
      <c r="R135" t="s">
        <v>336</v>
      </c>
      <c r="S135" s="5">
        <v>45363</v>
      </c>
      <c r="T135">
        <v>17.506602000000001</v>
      </c>
      <c r="U135">
        <v>86.203719000000007</v>
      </c>
      <c r="V135">
        <v>0.37</v>
      </c>
      <c r="W135" t="s">
        <v>31</v>
      </c>
      <c r="X135">
        <v>134</v>
      </c>
      <c r="Y135" t="s">
        <v>62</v>
      </c>
      <c r="Z135" t="s">
        <v>72</v>
      </c>
    </row>
    <row r="136" spans="1:26" x14ac:dyDescent="0.35">
      <c r="A136" t="s">
        <v>337</v>
      </c>
      <c r="B136" t="s">
        <v>3</v>
      </c>
      <c r="C136" t="s">
        <v>10</v>
      </c>
      <c r="D136">
        <v>42.55</v>
      </c>
      <c r="E136">
        <v>6.98</v>
      </c>
      <c r="F136">
        <v>25.32</v>
      </c>
      <c r="G136">
        <v>187.98</v>
      </c>
      <c r="H136">
        <v>56.55</v>
      </c>
      <c r="I136">
        <v>6.56</v>
      </c>
      <c r="J136" t="s">
        <v>32</v>
      </c>
      <c r="K136" t="s">
        <v>18</v>
      </c>
      <c r="L136">
        <v>40.9</v>
      </c>
      <c r="M136" s="5">
        <v>45357</v>
      </c>
      <c r="N136" s="5">
        <v>45458</v>
      </c>
      <c r="O136" s="5" t="str">
        <f>TEXT(Table1[[#This Row],[harvest_date]],"mmmm")</f>
        <v>June</v>
      </c>
      <c r="P136">
        <v>101</v>
      </c>
      <c r="Q136">
        <v>4561.92</v>
      </c>
      <c r="R136" t="s">
        <v>338</v>
      </c>
      <c r="S136" s="5">
        <v>45412</v>
      </c>
      <c r="T136">
        <v>19.889558999999998</v>
      </c>
      <c r="U136">
        <v>84.747766999999996</v>
      </c>
      <c r="V136">
        <v>0.83</v>
      </c>
      <c r="W136" t="s">
        <v>33</v>
      </c>
      <c r="X136">
        <v>101</v>
      </c>
      <c r="Y136" t="s">
        <v>62</v>
      </c>
      <c r="Z136" t="s">
        <v>82</v>
      </c>
    </row>
    <row r="137" spans="1:26" x14ac:dyDescent="0.35">
      <c r="A137" t="s">
        <v>339</v>
      </c>
      <c r="B137" t="s">
        <v>2</v>
      </c>
      <c r="C137" t="s">
        <v>11</v>
      </c>
      <c r="D137">
        <v>23.61</v>
      </c>
      <c r="E137">
        <v>6.91</v>
      </c>
      <c r="F137">
        <v>19.12</v>
      </c>
      <c r="G137">
        <v>238.08</v>
      </c>
      <c r="H137">
        <v>80.44</v>
      </c>
      <c r="I137">
        <v>4.38</v>
      </c>
      <c r="J137" t="s">
        <v>69</v>
      </c>
      <c r="K137" t="s">
        <v>17</v>
      </c>
      <c r="L137">
        <v>13.41</v>
      </c>
      <c r="M137" s="5">
        <v>45329</v>
      </c>
      <c r="N137" s="5">
        <v>45448</v>
      </c>
      <c r="O137" s="5" t="str">
        <f>TEXT(Table1[[#This Row],[harvest_date]],"mmmm")</f>
        <v>June</v>
      </c>
      <c r="P137">
        <v>119</v>
      </c>
      <c r="Q137">
        <v>2455.8200000000002</v>
      </c>
      <c r="R137" t="s">
        <v>340</v>
      </c>
      <c r="S137" s="5">
        <v>45414</v>
      </c>
      <c r="T137">
        <v>31.565913999999999</v>
      </c>
      <c r="U137">
        <v>80.554299999999998</v>
      </c>
      <c r="V137">
        <v>0.68</v>
      </c>
      <c r="W137" t="s">
        <v>33</v>
      </c>
      <c r="X137">
        <v>119</v>
      </c>
      <c r="Y137" t="s">
        <v>71</v>
      </c>
      <c r="Z137" t="s">
        <v>63</v>
      </c>
    </row>
    <row r="138" spans="1:26" x14ac:dyDescent="0.35">
      <c r="A138" t="s">
        <v>341</v>
      </c>
      <c r="B138" t="s">
        <v>2</v>
      </c>
      <c r="C138" t="s">
        <v>11</v>
      </c>
      <c r="D138">
        <v>30.55</v>
      </c>
      <c r="E138">
        <v>6.2</v>
      </c>
      <c r="F138">
        <v>31.91</v>
      </c>
      <c r="G138">
        <v>204.34</v>
      </c>
      <c r="H138">
        <v>80.69</v>
      </c>
      <c r="I138">
        <v>8.24</v>
      </c>
      <c r="J138" t="s">
        <v>80</v>
      </c>
      <c r="K138" t="s">
        <v>17</v>
      </c>
      <c r="L138">
        <v>31.56</v>
      </c>
      <c r="M138" s="5">
        <v>45356</v>
      </c>
      <c r="N138" s="5">
        <v>45466</v>
      </c>
      <c r="O138" s="5" t="str">
        <f>TEXT(Table1[[#This Row],[harvest_date]],"mmmm")</f>
        <v>June</v>
      </c>
      <c r="P138">
        <v>110</v>
      </c>
      <c r="Q138">
        <v>2471.4499999999998</v>
      </c>
      <c r="R138" t="s">
        <v>342</v>
      </c>
      <c r="S138" s="5">
        <v>45395</v>
      </c>
      <c r="T138">
        <v>12.923723000000001</v>
      </c>
      <c r="U138">
        <v>77.466121000000001</v>
      </c>
      <c r="V138">
        <v>0.38</v>
      </c>
      <c r="W138" t="s">
        <v>33</v>
      </c>
      <c r="X138">
        <v>110</v>
      </c>
      <c r="Y138" t="s">
        <v>71</v>
      </c>
      <c r="Z138" t="s">
        <v>72</v>
      </c>
    </row>
    <row r="139" spans="1:26" x14ac:dyDescent="0.35">
      <c r="A139" t="s">
        <v>343</v>
      </c>
      <c r="B139" t="s">
        <v>5</v>
      </c>
      <c r="C139" t="s">
        <v>12</v>
      </c>
      <c r="D139">
        <v>14.83</v>
      </c>
      <c r="E139">
        <v>6.27</v>
      </c>
      <c r="F139">
        <v>18.72</v>
      </c>
      <c r="G139">
        <v>208.88</v>
      </c>
      <c r="H139">
        <v>74.67</v>
      </c>
      <c r="I139">
        <v>7.87</v>
      </c>
      <c r="J139" t="s">
        <v>65</v>
      </c>
      <c r="K139" t="s">
        <v>17</v>
      </c>
      <c r="L139">
        <v>12.51</v>
      </c>
      <c r="M139" s="5">
        <v>45327</v>
      </c>
      <c r="N139" s="5">
        <v>45428</v>
      </c>
      <c r="O139" s="5" t="str">
        <f>TEXT(Table1[[#This Row],[harvest_date]],"mmmm")</f>
        <v>May</v>
      </c>
      <c r="P139">
        <v>101</v>
      </c>
      <c r="Q139">
        <v>3258.32</v>
      </c>
      <c r="R139" t="s">
        <v>344</v>
      </c>
      <c r="S139" s="5">
        <v>45384</v>
      </c>
      <c r="T139">
        <v>25.485249</v>
      </c>
      <c r="U139">
        <v>87.310445000000001</v>
      </c>
      <c r="V139">
        <v>0.87</v>
      </c>
      <c r="W139" t="s">
        <v>33</v>
      </c>
      <c r="X139">
        <v>101</v>
      </c>
      <c r="Y139" t="s">
        <v>62</v>
      </c>
      <c r="Z139" t="s">
        <v>63</v>
      </c>
    </row>
    <row r="140" spans="1:26" x14ac:dyDescent="0.35">
      <c r="A140" t="s">
        <v>345</v>
      </c>
      <c r="B140" t="s">
        <v>4</v>
      </c>
      <c r="C140" t="s">
        <v>10</v>
      </c>
      <c r="D140">
        <v>38.53</v>
      </c>
      <c r="E140">
        <v>7.43</v>
      </c>
      <c r="F140">
        <v>25.11</v>
      </c>
      <c r="G140">
        <v>173.74</v>
      </c>
      <c r="H140">
        <v>74.23</v>
      </c>
      <c r="I140">
        <v>6.49</v>
      </c>
      <c r="J140" t="s">
        <v>32</v>
      </c>
      <c r="K140" t="s">
        <v>19</v>
      </c>
      <c r="L140">
        <v>12.53</v>
      </c>
      <c r="M140" s="5">
        <v>45352</v>
      </c>
      <c r="N140" s="5">
        <v>45492</v>
      </c>
      <c r="O140" s="5" t="str">
        <f>TEXT(Table1[[#This Row],[harvest_date]],"mmmm")</f>
        <v>July</v>
      </c>
      <c r="P140">
        <v>140</v>
      </c>
      <c r="Q140">
        <v>5044.2299999999996</v>
      </c>
      <c r="R140" t="s">
        <v>346</v>
      </c>
      <c r="S140" s="5">
        <v>45426</v>
      </c>
      <c r="T140">
        <v>10.817377</v>
      </c>
      <c r="U140">
        <v>74.496868000000006</v>
      </c>
      <c r="V140">
        <v>0.47</v>
      </c>
      <c r="W140" t="s">
        <v>33</v>
      </c>
      <c r="X140">
        <v>140</v>
      </c>
      <c r="Y140" t="s">
        <v>62</v>
      </c>
      <c r="Z140" t="s">
        <v>63</v>
      </c>
    </row>
    <row r="141" spans="1:26" x14ac:dyDescent="0.35">
      <c r="A141" t="s">
        <v>347</v>
      </c>
      <c r="B141" t="s">
        <v>2</v>
      </c>
      <c r="C141" t="s">
        <v>11</v>
      </c>
      <c r="D141">
        <v>29.24</v>
      </c>
      <c r="E141">
        <v>5.73</v>
      </c>
      <c r="F141">
        <v>17.28</v>
      </c>
      <c r="G141">
        <v>243.78</v>
      </c>
      <c r="H141">
        <v>81.16</v>
      </c>
      <c r="I141">
        <v>6.2</v>
      </c>
      <c r="J141" t="s">
        <v>69</v>
      </c>
      <c r="K141" t="s">
        <v>17</v>
      </c>
      <c r="L141">
        <v>24.86</v>
      </c>
      <c r="M141" s="5">
        <v>45305</v>
      </c>
      <c r="N141" s="5">
        <v>45401</v>
      </c>
      <c r="O141" s="5" t="str">
        <f>TEXT(Table1[[#This Row],[harvest_date]],"mmmm")</f>
        <v>April</v>
      </c>
      <c r="P141">
        <v>96</v>
      </c>
      <c r="Q141">
        <v>4943.95</v>
      </c>
      <c r="R141" t="s">
        <v>348</v>
      </c>
      <c r="S141" s="5">
        <v>45388</v>
      </c>
      <c r="T141">
        <v>28.783636999999999</v>
      </c>
      <c r="U141">
        <v>75.954178999999996</v>
      </c>
      <c r="V141">
        <v>0.9</v>
      </c>
      <c r="W141" t="s">
        <v>33</v>
      </c>
      <c r="X141">
        <v>96</v>
      </c>
      <c r="Y141" t="s">
        <v>62</v>
      </c>
      <c r="Z141" t="s">
        <v>72</v>
      </c>
    </row>
    <row r="142" spans="1:26" x14ac:dyDescent="0.35">
      <c r="A142" t="s">
        <v>349</v>
      </c>
      <c r="B142" t="s">
        <v>1</v>
      </c>
      <c r="C142" t="s">
        <v>14</v>
      </c>
      <c r="D142">
        <v>40.18</v>
      </c>
      <c r="E142">
        <v>5.67</v>
      </c>
      <c r="F142">
        <v>32.31</v>
      </c>
      <c r="G142">
        <v>79.349999999999994</v>
      </c>
      <c r="H142">
        <v>80.59</v>
      </c>
      <c r="I142">
        <v>5.26</v>
      </c>
      <c r="J142" t="s">
        <v>80</v>
      </c>
      <c r="K142" t="s">
        <v>17</v>
      </c>
      <c r="L142">
        <v>32.46</v>
      </c>
      <c r="M142" s="5">
        <v>45328</v>
      </c>
      <c r="N142" s="5">
        <v>45457</v>
      </c>
      <c r="O142" s="5" t="str">
        <f>TEXT(Table1[[#This Row],[harvest_date]],"mmmm")</f>
        <v>June</v>
      </c>
      <c r="P142">
        <v>129</v>
      </c>
      <c r="Q142">
        <v>2556.94</v>
      </c>
      <c r="R142" t="s">
        <v>350</v>
      </c>
      <c r="S142" s="5">
        <v>45380</v>
      </c>
      <c r="T142">
        <v>30.338246999999999</v>
      </c>
      <c r="U142">
        <v>86.108810000000005</v>
      </c>
      <c r="V142">
        <v>0.64</v>
      </c>
      <c r="W142" t="s">
        <v>31</v>
      </c>
      <c r="X142">
        <v>129</v>
      </c>
      <c r="Y142" t="s">
        <v>71</v>
      </c>
      <c r="Z142" t="s">
        <v>72</v>
      </c>
    </row>
    <row r="143" spans="1:26" x14ac:dyDescent="0.35">
      <c r="A143" t="s">
        <v>351</v>
      </c>
      <c r="B143" t="s">
        <v>2</v>
      </c>
      <c r="C143" t="s">
        <v>12</v>
      </c>
      <c r="D143">
        <v>15.89</v>
      </c>
      <c r="E143">
        <v>7.46</v>
      </c>
      <c r="F143">
        <v>20.85</v>
      </c>
      <c r="G143">
        <v>193.18</v>
      </c>
      <c r="H143">
        <v>87.62</v>
      </c>
      <c r="I143">
        <v>7.09</v>
      </c>
      <c r="J143" t="s">
        <v>69</v>
      </c>
      <c r="K143" t="s">
        <v>18</v>
      </c>
      <c r="L143">
        <v>48.32</v>
      </c>
      <c r="M143" s="5">
        <v>45324</v>
      </c>
      <c r="N143" s="5">
        <v>45431</v>
      </c>
      <c r="O143" s="5" t="str">
        <f>TEXT(Table1[[#This Row],[harvest_date]],"mmmm")</f>
        <v>May</v>
      </c>
      <c r="P143">
        <v>107</v>
      </c>
      <c r="Q143">
        <v>5468.19</v>
      </c>
      <c r="R143" t="s">
        <v>352</v>
      </c>
      <c r="S143" s="5">
        <v>45340</v>
      </c>
      <c r="T143">
        <v>27.535663</v>
      </c>
      <c r="U143">
        <v>72.653817000000004</v>
      </c>
      <c r="V143">
        <v>0.39</v>
      </c>
      <c r="W143" t="s">
        <v>31</v>
      </c>
      <c r="X143">
        <v>107</v>
      </c>
      <c r="Y143" t="s">
        <v>67</v>
      </c>
      <c r="Z143" t="s">
        <v>82</v>
      </c>
    </row>
    <row r="144" spans="1:26" x14ac:dyDescent="0.35">
      <c r="A144" t="s">
        <v>353</v>
      </c>
      <c r="B144" t="s">
        <v>4</v>
      </c>
      <c r="C144" t="s">
        <v>11</v>
      </c>
      <c r="D144">
        <v>27.13</v>
      </c>
      <c r="E144">
        <v>6.65</v>
      </c>
      <c r="F144">
        <v>20.37</v>
      </c>
      <c r="G144">
        <v>153.56</v>
      </c>
      <c r="H144">
        <v>62.6</v>
      </c>
      <c r="I144">
        <v>7.8</v>
      </c>
      <c r="J144" t="s">
        <v>69</v>
      </c>
      <c r="K144" t="s">
        <v>19</v>
      </c>
      <c r="L144">
        <v>28.2</v>
      </c>
      <c r="M144" s="5">
        <v>45345</v>
      </c>
      <c r="N144" s="5">
        <v>45494</v>
      </c>
      <c r="O144" s="5" t="str">
        <f>TEXT(Table1[[#This Row],[harvest_date]],"mmmm")</f>
        <v>July</v>
      </c>
      <c r="P144">
        <v>149</v>
      </c>
      <c r="Q144">
        <v>5509.27</v>
      </c>
      <c r="R144" t="s">
        <v>354</v>
      </c>
      <c r="S144" s="5">
        <v>45461</v>
      </c>
      <c r="T144">
        <v>33.756352</v>
      </c>
      <c r="U144">
        <v>76.545786000000007</v>
      </c>
      <c r="V144">
        <v>0.3</v>
      </c>
      <c r="W144" t="s">
        <v>32</v>
      </c>
      <c r="X144">
        <v>149</v>
      </c>
      <c r="Y144" t="s">
        <v>67</v>
      </c>
      <c r="Z144" t="s">
        <v>72</v>
      </c>
    </row>
    <row r="145" spans="1:26" x14ac:dyDescent="0.35">
      <c r="A145" t="s">
        <v>355</v>
      </c>
      <c r="B145" t="s">
        <v>5</v>
      </c>
      <c r="C145" t="s">
        <v>14</v>
      </c>
      <c r="D145">
        <v>39.75</v>
      </c>
      <c r="E145">
        <v>7.09</v>
      </c>
      <c r="F145">
        <v>22.95</v>
      </c>
      <c r="G145">
        <v>292.02999999999997</v>
      </c>
      <c r="H145">
        <v>81.239999999999995</v>
      </c>
      <c r="I145">
        <v>6.97</v>
      </c>
      <c r="J145" t="s">
        <v>80</v>
      </c>
      <c r="K145" t="s">
        <v>19</v>
      </c>
      <c r="L145">
        <v>20.2</v>
      </c>
      <c r="M145" s="5">
        <v>45356</v>
      </c>
      <c r="N145" s="5">
        <v>45482</v>
      </c>
      <c r="O145" s="5" t="str">
        <f>TEXT(Table1[[#This Row],[harvest_date]],"mmmm")</f>
        <v>July</v>
      </c>
      <c r="P145">
        <v>126</v>
      </c>
      <c r="Q145">
        <v>5409.69</v>
      </c>
      <c r="R145" t="s">
        <v>356</v>
      </c>
      <c r="S145" s="5">
        <v>45456</v>
      </c>
      <c r="T145">
        <v>18.593491</v>
      </c>
      <c r="U145">
        <v>83.651038999999997</v>
      </c>
      <c r="V145">
        <v>0.33</v>
      </c>
      <c r="W145" t="s">
        <v>32</v>
      </c>
      <c r="X145">
        <v>126</v>
      </c>
      <c r="Y145" t="s">
        <v>67</v>
      </c>
      <c r="Z145" t="s">
        <v>72</v>
      </c>
    </row>
    <row r="146" spans="1:26" x14ac:dyDescent="0.35">
      <c r="A146" t="s">
        <v>357</v>
      </c>
      <c r="B146" t="s">
        <v>5</v>
      </c>
      <c r="C146" t="s">
        <v>13</v>
      </c>
      <c r="D146">
        <v>14.35</v>
      </c>
      <c r="E146">
        <v>7.22</v>
      </c>
      <c r="F146">
        <v>23.83</v>
      </c>
      <c r="G146">
        <v>50.17</v>
      </c>
      <c r="H146">
        <v>87.9</v>
      </c>
      <c r="I146">
        <v>5.21</v>
      </c>
      <c r="J146" t="s">
        <v>65</v>
      </c>
      <c r="K146" t="s">
        <v>17</v>
      </c>
      <c r="L146">
        <v>18.579999999999998</v>
      </c>
      <c r="M146" s="5">
        <v>45325</v>
      </c>
      <c r="N146" s="5">
        <v>45456</v>
      </c>
      <c r="O146" s="5" t="str">
        <f>TEXT(Table1[[#This Row],[harvest_date]],"mmmm")</f>
        <v>June</v>
      </c>
      <c r="P146">
        <v>131</v>
      </c>
      <c r="Q146">
        <v>3441.74</v>
      </c>
      <c r="R146" t="s">
        <v>358</v>
      </c>
      <c r="S146" s="5">
        <v>45346</v>
      </c>
      <c r="T146">
        <v>19.296094</v>
      </c>
      <c r="U146">
        <v>88.076004999999995</v>
      </c>
      <c r="V146">
        <v>0.4</v>
      </c>
      <c r="W146" t="s">
        <v>33</v>
      </c>
      <c r="X146">
        <v>131</v>
      </c>
      <c r="Y146" t="s">
        <v>62</v>
      </c>
      <c r="Z146" t="s">
        <v>72</v>
      </c>
    </row>
    <row r="147" spans="1:26" x14ac:dyDescent="0.35">
      <c r="A147" t="s">
        <v>359</v>
      </c>
      <c r="B147" t="s">
        <v>1</v>
      </c>
      <c r="C147" t="s">
        <v>10</v>
      </c>
      <c r="D147">
        <v>25.02</v>
      </c>
      <c r="E147">
        <v>5.68</v>
      </c>
      <c r="F147">
        <v>16.899999999999999</v>
      </c>
      <c r="G147">
        <v>103.36</v>
      </c>
      <c r="H147">
        <v>43.9</v>
      </c>
      <c r="I147">
        <v>7.56</v>
      </c>
      <c r="J147" t="s">
        <v>32</v>
      </c>
      <c r="K147" t="s">
        <v>18</v>
      </c>
      <c r="L147">
        <v>5.36</v>
      </c>
      <c r="M147" s="5">
        <v>45349</v>
      </c>
      <c r="N147" s="5">
        <v>45446</v>
      </c>
      <c r="O147" s="5" t="str">
        <f>TEXT(Table1[[#This Row],[harvest_date]],"mmmm")</f>
        <v>June</v>
      </c>
      <c r="P147">
        <v>97</v>
      </c>
      <c r="Q147">
        <v>5952.62</v>
      </c>
      <c r="R147" t="s">
        <v>360</v>
      </c>
      <c r="S147" s="5">
        <v>45403</v>
      </c>
      <c r="T147">
        <v>27.350774999999999</v>
      </c>
      <c r="U147">
        <v>79.554005000000004</v>
      </c>
      <c r="V147">
        <v>0.44</v>
      </c>
      <c r="W147" t="s">
        <v>32</v>
      </c>
      <c r="X147">
        <v>97</v>
      </c>
      <c r="Y147" t="s">
        <v>67</v>
      </c>
      <c r="Z147" t="s">
        <v>63</v>
      </c>
    </row>
    <row r="148" spans="1:26" x14ac:dyDescent="0.35">
      <c r="A148" t="s">
        <v>361</v>
      </c>
      <c r="B148" t="s">
        <v>3</v>
      </c>
      <c r="C148" t="s">
        <v>13</v>
      </c>
      <c r="D148">
        <v>20.97</v>
      </c>
      <c r="E148">
        <v>7.26</v>
      </c>
      <c r="F148">
        <v>17.739999999999998</v>
      </c>
      <c r="G148">
        <v>243.37</v>
      </c>
      <c r="H148">
        <v>77.66</v>
      </c>
      <c r="I148">
        <v>4.8</v>
      </c>
      <c r="J148" t="s">
        <v>65</v>
      </c>
      <c r="K148" t="s">
        <v>18</v>
      </c>
      <c r="L148">
        <v>28.87</v>
      </c>
      <c r="M148" s="5">
        <v>45311</v>
      </c>
      <c r="N148" s="5">
        <v>45442</v>
      </c>
      <c r="O148" s="5" t="str">
        <f>TEXT(Table1[[#This Row],[harvest_date]],"mmmm")</f>
        <v>May</v>
      </c>
      <c r="P148">
        <v>131</v>
      </c>
      <c r="Q148">
        <v>2656.47</v>
      </c>
      <c r="R148" t="s">
        <v>362</v>
      </c>
      <c r="S148" s="5">
        <v>45400</v>
      </c>
      <c r="T148">
        <v>28.060801000000001</v>
      </c>
      <c r="U148">
        <v>82.561600999999996</v>
      </c>
      <c r="V148">
        <v>0.39</v>
      </c>
      <c r="W148" t="s">
        <v>33</v>
      </c>
      <c r="X148">
        <v>131</v>
      </c>
      <c r="Y148" t="s">
        <v>71</v>
      </c>
      <c r="Z148" t="s">
        <v>72</v>
      </c>
    </row>
    <row r="149" spans="1:26" x14ac:dyDescent="0.35">
      <c r="A149" t="s">
        <v>363</v>
      </c>
      <c r="B149" t="s">
        <v>2</v>
      </c>
      <c r="C149" t="s">
        <v>11</v>
      </c>
      <c r="D149">
        <v>40.1</v>
      </c>
      <c r="E149">
        <v>5.67</v>
      </c>
      <c r="F149">
        <v>17.010000000000002</v>
      </c>
      <c r="G149">
        <v>238.11</v>
      </c>
      <c r="H149">
        <v>69.48</v>
      </c>
      <c r="I149">
        <v>6.3</v>
      </c>
      <c r="J149" t="s">
        <v>32</v>
      </c>
      <c r="K149" t="s">
        <v>19</v>
      </c>
      <c r="L149">
        <v>40.6</v>
      </c>
      <c r="M149" s="5">
        <v>45300</v>
      </c>
      <c r="N149" s="5">
        <v>45431</v>
      </c>
      <c r="O149" s="5" t="str">
        <f>TEXT(Table1[[#This Row],[harvest_date]],"mmmm")</f>
        <v>May</v>
      </c>
      <c r="P149">
        <v>131</v>
      </c>
      <c r="Q149">
        <v>2336.9899999999998</v>
      </c>
      <c r="R149" t="s">
        <v>364</v>
      </c>
      <c r="S149" s="5">
        <v>45372</v>
      </c>
      <c r="T149">
        <v>29.474240999999999</v>
      </c>
      <c r="U149">
        <v>83.809522000000001</v>
      </c>
      <c r="V149">
        <v>0.81</v>
      </c>
      <c r="W149" t="s">
        <v>31</v>
      </c>
      <c r="X149">
        <v>131</v>
      </c>
      <c r="Y149" t="s">
        <v>71</v>
      </c>
      <c r="Z149" t="s">
        <v>82</v>
      </c>
    </row>
    <row r="150" spans="1:26" x14ac:dyDescent="0.35">
      <c r="A150" t="s">
        <v>365</v>
      </c>
      <c r="B150" t="s">
        <v>4</v>
      </c>
      <c r="C150" t="s">
        <v>12</v>
      </c>
      <c r="D150">
        <v>31.24</v>
      </c>
      <c r="E150">
        <v>5.88</v>
      </c>
      <c r="F150">
        <v>22.84</v>
      </c>
      <c r="G150">
        <v>211.54</v>
      </c>
      <c r="H150">
        <v>79.19</v>
      </c>
      <c r="I150">
        <v>8.76</v>
      </c>
      <c r="J150" t="s">
        <v>65</v>
      </c>
      <c r="K150" t="s">
        <v>19</v>
      </c>
      <c r="L150">
        <v>22.36</v>
      </c>
      <c r="M150" s="5">
        <v>45307</v>
      </c>
      <c r="N150" s="5">
        <v>45437</v>
      </c>
      <c r="O150" s="5" t="str">
        <f>TEXT(Table1[[#This Row],[harvest_date]],"mmmm")</f>
        <v>May</v>
      </c>
      <c r="P150">
        <v>130</v>
      </c>
      <c r="Q150">
        <v>4375.72</v>
      </c>
      <c r="R150" t="s">
        <v>366</v>
      </c>
      <c r="S150" s="5">
        <v>45310</v>
      </c>
      <c r="T150">
        <v>34.672063000000001</v>
      </c>
      <c r="U150">
        <v>88.678488000000002</v>
      </c>
      <c r="V150">
        <v>0.38</v>
      </c>
      <c r="W150" t="s">
        <v>33</v>
      </c>
      <c r="X150">
        <v>130</v>
      </c>
      <c r="Y150" t="s">
        <v>62</v>
      </c>
      <c r="Z150" t="s">
        <v>72</v>
      </c>
    </row>
    <row r="151" spans="1:26" x14ac:dyDescent="0.35">
      <c r="A151" t="s">
        <v>367</v>
      </c>
      <c r="B151" t="s">
        <v>1</v>
      </c>
      <c r="C151" t="s">
        <v>12</v>
      </c>
      <c r="D151">
        <v>33.9</v>
      </c>
      <c r="E151">
        <v>7.03</v>
      </c>
      <c r="F151">
        <v>34.090000000000003</v>
      </c>
      <c r="G151">
        <v>242.59</v>
      </c>
      <c r="H151">
        <v>40.83</v>
      </c>
      <c r="I151">
        <v>4.41</v>
      </c>
      <c r="J151" t="s">
        <v>80</v>
      </c>
      <c r="K151" t="s">
        <v>18</v>
      </c>
      <c r="L151">
        <v>6.79</v>
      </c>
      <c r="M151" s="5">
        <v>45317</v>
      </c>
      <c r="N151" s="5">
        <v>45432</v>
      </c>
      <c r="O151" s="5" t="str">
        <f>TEXT(Table1[[#This Row],[harvest_date]],"mmmm")</f>
        <v>May</v>
      </c>
      <c r="P151">
        <v>115</v>
      </c>
      <c r="Q151">
        <v>4026.44</v>
      </c>
      <c r="R151" t="s">
        <v>368</v>
      </c>
      <c r="S151" s="5">
        <v>45397</v>
      </c>
      <c r="T151">
        <v>27.815726999999999</v>
      </c>
      <c r="U151">
        <v>85.342200000000005</v>
      </c>
      <c r="V151">
        <v>0.55000000000000004</v>
      </c>
      <c r="W151" t="s">
        <v>33</v>
      </c>
      <c r="X151">
        <v>115</v>
      </c>
      <c r="Y151" t="s">
        <v>62</v>
      </c>
      <c r="Z151" t="s">
        <v>63</v>
      </c>
    </row>
    <row r="152" spans="1:26" x14ac:dyDescent="0.35">
      <c r="A152" t="s">
        <v>369</v>
      </c>
      <c r="B152" t="s">
        <v>3</v>
      </c>
      <c r="C152" t="s">
        <v>12</v>
      </c>
      <c r="D152">
        <v>28.82</v>
      </c>
      <c r="E152">
        <v>5.81</v>
      </c>
      <c r="F152">
        <v>16.670000000000002</v>
      </c>
      <c r="G152">
        <v>69.760000000000005</v>
      </c>
      <c r="H152">
        <v>86.05</v>
      </c>
      <c r="I152">
        <v>9.85</v>
      </c>
      <c r="J152" t="s">
        <v>65</v>
      </c>
      <c r="K152" t="s">
        <v>17</v>
      </c>
      <c r="L152">
        <v>19.7</v>
      </c>
      <c r="M152" s="5">
        <v>45372</v>
      </c>
      <c r="N152" s="5">
        <v>45510</v>
      </c>
      <c r="O152" s="5" t="str">
        <f>TEXT(Table1[[#This Row],[harvest_date]],"mmmm")</f>
        <v>August</v>
      </c>
      <c r="P152">
        <v>138</v>
      </c>
      <c r="Q152">
        <v>5338.11</v>
      </c>
      <c r="R152" t="s">
        <v>370</v>
      </c>
      <c r="S152" s="5">
        <v>45388</v>
      </c>
      <c r="T152">
        <v>17.754237</v>
      </c>
      <c r="U152">
        <v>78.749720999999994</v>
      </c>
      <c r="V152">
        <v>0.87</v>
      </c>
      <c r="W152" t="s">
        <v>30</v>
      </c>
      <c r="X152">
        <v>138</v>
      </c>
      <c r="Y152" t="s">
        <v>67</v>
      </c>
      <c r="Z152" t="s">
        <v>72</v>
      </c>
    </row>
    <row r="153" spans="1:26" x14ac:dyDescent="0.35">
      <c r="A153" t="s">
        <v>371</v>
      </c>
      <c r="B153" t="s">
        <v>3</v>
      </c>
      <c r="C153" t="s">
        <v>10</v>
      </c>
      <c r="D153">
        <v>13.02</v>
      </c>
      <c r="E153">
        <v>6.37</v>
      </c>
      <c r="F153">
        <v>24.07</v>
      </c>
      <c r="G153">
        <v>202.21</v>
      </c>
      <c r="H153">
        <v>55.46</v>
      </c>
      <c r="I153">
        <v>8.4499999999999993</v>
      </c>
      <c r="J153" t="s">
        <v>65</v>
      </c>
      <c r="K153" t="s">
        <v>18</v>
      </c>
      <c r="L153">
        <v>5.57</v>
      </c>
      <c r="M153" s="5">
        <v>45314</v>
      </c>
      <c r="N153" s="5">
        <v>45404</v>
      </c>
      <c r="O153" s="5" t="str">
        <f>TEXT(Table1[[#This Row],[harvest_date]],"mmmm")</f>
        <v>April</v>
      </c>
      <c r="P153">
        <v>90</v>
      </c>
      <c r="Q153">
        <v>2655.33</v>
      </c>
      <c r="R153" t="s">
        <v>372</v>
      </c>
      <c r="S153" s="5">
        <v>45358</v>
      </c>
      <c r="T153">
        <v>23.075133999999998</v>
      </c>
      <c r="U153">
        <v>85.659741999999994</v>
      </c>
      <c r="V153">
        <v>0.73</v>
      </c>
      <c r="W153" t="s">
        <v>30</v>
      </c>
      <c r="X153">
        <v>90</v>
      </c>
      <c r="Y153" t="s">
        <v>71</v>
      </c>
      <c r="Z153" t="s">
        <v>63</v>
      </c>
    </row>
    <row r="154" spans="1:26" x14ac:dyDescent="0.35">
      <c r="A154" t="s">
        <v>373</v>
      </c>
      <c r="B154" t="s">
        <v>1</v>
      </c>
      <c r="C154" t="s">
        <v>10</v>
      </c>
      <c r="D154">
        <v>36.24</v>
      </c>
      <c r="E154">
        <v>7.25</v>
      </c>
      <c r="F154">
        <v>29.66</v>
      </c>
      <c r="G154">
        <v>79.510000000000005</v>
      </c>
      <c r="H154">
        <v>84.99</v>
      </c>
      <c r="I154">
        <v>6.01</v>
      </c>
      <c r="J154" t="s">
        <v>32</v>
      </c>
      <c r="K154" t="s">
        <v>19</v>
      </c>
      <c r="L154">
        <v>28.57</v>
      </c>
      <c r="M154" s="5">
        <v>45345</v>
      </c>
      <c r="N154" s="5">
        <v>45471</v>
      </c>
      <c r="O154" s="5" t="str">
        <f>TEXT(Table1[[#This Row],[harvest_date]],"mmmm")</f>
        <v>June</v>
      </c>
      <c r="P154">
        <v>126</v>
      </c>
      <c r="Q154">
        <v>4510.13</v>
      </c>
      <c r="R154" t="s">
        <v>374</v>
      </c>
      <c r="S154" s="5">
        <v>45408</v>
      </c>
      <c r="T154">
        <v>21.379943999999998</v>
      </c>
      <c r="U154">
        <v>77.202477999999999</v>
      </c>
      <c r="V154">
        <v>0.6</v>
      </c>
      <c r="W154" t="s">
        <v>30</v>
      </c>
      <c r="X154">
        <v>126</v>
      </c>
      <c r="Y154" t="s">
        <v>62</v>
      </c>
      <c r="Z154" t="s">
        <v>72</v>
      </c>
    </row>
    <row r="155" spans="1:26" x14ac:dyDescent="0.35">
      <c r="A155" t="s">
        <v>375</v>
      </c>
      <c r="B155" t="s">
        <v>1</v>
      </c>
      <c r="C155" t="s">
        <v>10</v>
      </c>
      <c r="D155">
        <v>18.93</v>
      </c>
      <c r="E155">
        <v>5.71</v>
      </c>
      <c r="F155">
        <v>26.48</v>
      </c>
      <c r="G155">
        <v>230.69</v>
      </c>
      <c r="H155">
        <v>51.42</v>
      </c>
      <c r="I155">
        <v>7.05</v>
      </c>
      <c r="J155" t="s">
        <v>69</v>
      </c>
      <c r="K155" t="s">
        <v>18</v>
      </c>
      <c r="L155">
        <v>16</v>
      </c>
      <c r="M155" s="5">
        <v>45334</v>
      </c>
      <c r="N155" s="5">
        <v>45448</v>
      </c>
      <c r="O155" s="5" t="str">
        <f>TEXT(Table1[[#This Row],[harvest_date]],"mmmm")</f>
        <v>June</v>
      </c>
      <c r="P155">
        <v>114</v>
      </c>
      <c r="Q155">
        <v>5680.91</v>
      </c>
      <c r="R155" t="s">
        <v>376</v>
      </c>
      <c r="S155" s="5">
        <v>45356</v>
      </c>
      <c r="T155">
        <v>33.279001999999998</v>
      </c>
      <c r="U155">
        <v>87.149704</v>
      </c>
      <c r="V155">
        <v>0.63</v>
      </c>
      <c r="W155" t="s">
        <v>33</v>
      </c>
      <c r="X155">
        <v>114</v>
      </c>
      <c r="Y155" t="s">
        <v>67</v>
      </c>
      <c r="Z155" t="s">
        <v>72</v>
      </c>
    </row>
    <row r="156" spans="1:26" x14ac:dyDescent="0.35">
      <c r="A156" t="s">
        <v>377</v>
      </c>
      <c r="B156" t="s">
        <v>4</v>
      </c>
      <c r="C156" t="s">
        <v>14</v>
      </c>
      <c r="D156">
        <v>18.690000000000001</v>
      </c>
      <c r="E156">
        <v>7.33</v>
      </c>
      <c r="F156">
        <v>21.4</v>
      </c>
      <c r="G156">
        <v>256.5</v>
      </c>
      <c r="H156">
        <v>68.58</v>
      </c>
      <c r="I156">
        <v>4.72</v>
      </c>
      <c r="J156" t="s">
        <v>69</v>
      </c>
      <c r="K156" t="s">
        <v>18</v>
      </c>
      <c r="L156">
        <v>15.04</v>
      </c>
      <c r="M156" s="5">
        <v>45353</v>
      </c>
      <c r="N156" s="5">
        <v>45468</v>
      </c>
      <c r="O156" s="5" t="str">
        <f>TEXT(Table1[[#This Row],[harvest_date]],"mmmm")</f>
        <v>June</v>
      </c>
      <c r="P156">
        <v>115</v>
      </c>
      <c r="Q156">
        <v>2275.71</v>
      </c>
      <c r="R156" t="s">
        <v>378</v>
      </c>
      <c r="S156" s="5">
        <v>45412</v>
      </c>
      <c r="T156">
        <v>31.650805999999999</v>
      </c>
      <c r="U156">
        <v>85.470550000000003</v>
      </c>
      <c r="V156">
        <v>0.49</v>
      </c>
      <c r="W156" t="s">
        <v>32</v>
      </c>
      <c r="X156">
        <v>115</v>
      </c>
      <c r="Y156" t="s">
        <v>71</v>
      </c>
      <c r="Z156" t="s">
        <v>72</v>
      </c>
    </row>
    <row r="157" spans="1:26" x14ac:dyDescent="0.35">
      <c r="A157" t="s">
        <v>379</v>
      </c>
      <c r="B157" t="s">
        <v>2</v>
      </c>
      <c r="C157" t="s">
        <v>11</v>
      </c>
      <c r="D157">
        <v>10.28</v>
      </c>
      <c r="E157">
        <v>5.9</v>
      </c>
      <c r="F157">
        <v>26.28</v>
      </c>
      <c r="G157">
        <v>125.98</v>
      </c>
      <c r="H157">
        <v>71.14</v>
      </c>
      <c r="I157">
        <v>6.78</v>
      </c>
      <c r="J157" t="s">
        <v>32</v>
      </c>
      <c r="K157" t="s">
        <v>18</v>
      </c>
      <c r="L157">
        <v>37.96</v>
      </c>
      <c r="M157" s="5">
        <v>45376</v>
      </c>
      <c r="N157" s="5">
        <v>45516</v>
      </c>
      <c r="O157" s="5" t="str">
        <f>TEXT(Table1[[#This Row],[harvest_date]],"mmmm")</f>
        <v>August</v>
      </c>
      <c r="P157">
        <v>140</v>
      </c>
      <c r="Q157">
        <v>2980.51</v>
      </c>
      <c r="R157" t="s">
        <v>380</v>
      </c>
      <c r="S157" s="5">
        <v>45377</v>
      </c>
      <c r="T157">
        <v>33.309938000000002</v>
      </c>
      <c r="U157">
        <v>70.478205000000003</v>
      </c>
      <c r="V157">
        <v>0.62</v>
      </c>
      <c r="W157" t="s">
        <v>32</v>
      </c>
      <c r="X157">
        <v>140</v>
      </c>
      <c r="Y157" t="s">
        <v>71</v>
      </c>
      <c r="Z157" t="s">
        <v>72</v>
      </c>
    </row>
    <row r="158" spans="1:26" x14ac:dyDescent="0.35">
      <c r="A158" t="s">
        <v>381</v>
      </c>
      <c r="B158" t="s">
        <v>1</v>
      </c>
      <c r="C158" t="s">
        <v>13</v>
      </c>
      <c r="D158">
        <v>36.56</v>
      </c>
      <c r="E158">
        <v>6.25</v>
      </c>
      <c r="F158">
        <v>29.76</v>
      </c>
      <c r="G158">
        <v>126.88</v>
      </c>
      <c r="H158">
        <v>50.26</v>
      </c>
      <c r="I158">
        <v>9.9</v>
      </c>
      <c r="J158" t="s">
        <v>32</v>
      </c>
      <c r="K158" t="s">
        <v>19</v>
      </c>
      <c r="L158">
        <v>48.25</v>
      </c>
      <c r="M158" s="5">
        <v>45314</v>
      </c>
      <c r="N158" s="5">
        <v>45421</v>
      </c>
      <c r="O158" s="5" t="str">
        <f>TEXT(Table1[[#This Row],[harvest_date]],"mmmm")</f>
        <v>May</v>
      </c>
      <c r="P158">
        <v>107</v>
      </c>
      <c r="Q158">
        <v>2372.11</v>
      </c>
      <c r="R158" t="s">
        <v>382</v>
      </c>
      <c r="S158" s="5">
        <v>45343</v>
      </c>
      <c r="T158">
        <v>32.432186999999999</v>
      </c>
      <c r="U158">
        <v>80.395184</v>
      </c>
      <c r="V158">
        <v>0.72</v>
      </c>
      <c r="W158" t="s">
        <v>31</v>
      </c>
      <c r="X158">
        <v>107</v>
      </c>
      <c r="Y158" t="s">
        <v>71</v>
      </c>
      <c r="Z158" t="s">
        <v>82</v>
      </c>
    </row>
    <row r="159" spans="1:26" x14ac:dyDescent="0.35">
      <c r="A159" t="s">
        <v>383</v>
      </c>
      <c r="B159" t="s">
        <v>5</v>
      </c>
      <c r="C159" t="s">
        <v>13</v>
      </c>
      <c r="D159">
        <v>30.33</v>
      </c>
      <c r="E159">
        <v>6.51</v>
      </c>
      <c r="F159">
        <v>27.74</v>
      </c>
      <c r="G159">
        <v>148.59</v>
      </c>
      <c r="H159">
        <v>69.59</v>
      </c>
      <c r="I159">
        <v>4.37</v>
      </c>
      <c r="J159" t="s">
        <v>65</v>
      </c>
      <c r="K159" t="s">
        <v>18</v>
      </c>
      <c r="L159">
        <v>18.13</v>
      </c>
      <c r="M159" s="5">
        <v>45348</v>
      </c>
      <c r="N159" s="5">
        <v>45463</v>
      </c>
      <c r="O159" s="5" t="str">
        <f>TEXT(Table1[[#This Row],[harvest_date]],"mmmm")</f>
        <v>June</v>
      </c>
      <c r="P159">
        <v>115</v>
      </c>
      <c r="Q159">
        <v>4802.8999999999996</v>
      </c>
      <c r="R159" t="s">
        <v>384</v>
      </c>
      <c r="S159" s="5">
        <v>45442</v>
      </c>
      <c r="T159">
        <v>18.156289000000001</v>
      </c>
      <c r="U159">
        <v>79.055156999999994</v>
      </c>
      <c r="V159">
        <v>0.44</v>
      </c>
      <c r="W159" t="s">
        <v>30</v>
      </c>
      <c r="X159">
        <v>115</v>
      </c>
      <c r="Y159" t="s">
        <v>62</v>
      </c>
      <c r="Z159" t="s">
        <v>72</v>
      </c>
    </row>
    <row r="160" spans="1:26" x14ac:dyDescent="0.35">
      <c r="A160" t="s">
        <v>385</v>
      </c>
      <c r="B160" t="s">
        <v>4</v>
      </c>
      <c r="C160" t="s">
        <v>12</v>
      </c>
      <c r="D160">
        <v>13.81</v>
      </c>
      <c r="E160">
        <v>5.71</v>
      </c>
      <c r="F160">
        <v>23.99</v>
      </c>
      <c r="G160">
        <v>128.51</v>
      </c>
      <c r="H160">
        <v>46.04</v>
      </c>
      <c r="I160">
        <v>6.15</v>
      </c>
      <c r="J160" t="s">
        <v>65</v>
      </c>
      <c r="K160" t="s">
        <v>19</v>
      </c>
      <c r="L160">
        <v>18.87</v>
      </c>
      <c r="M160" s="5">
        <v>45350</v>
      </c>
      <c r="N160" s="5">
        <v>45447</v>
      </c>
      <c r="O160" s="5" t="str">
        <f>TEXT(Table1[[#This Row],[harvest_date]],"mmmm")</f>
        <v>June</v>
      </c>
      <c r="P160">
        <v>97</v>
      </c>
      <c r="Q160">
        <v>2361.6799999999998</v>
      </c>
      <c r="R160" t="s">
        <v>386</v>
      </c>
      <c r="S160" s="5">
        <v>45437</v>
      </c>
      <c r="T160">
        <v>17.605374999999999</v>
      </c>
      <c r="U160">
        <v>84.094095999999993</v>
      </c>
      <c r="V160">
        <v>0.66</v>
      </c>
      <c r="W160" t="s">
        <v>30</v>
      </c>
      <c r="X160">
        <v>97</v>
      </c>
      <c r="Y160" t="s">
        <v>71</v>
      </c>
      <c r="Z160" t="s">
        <v>72</v>
      </c>
    </row>
    <row r="161" spans="1:26" x14ac:dyDescent="0.35">
      <c r="A161" t="s">
        <v>387</v>
      </c>
      <c r="B161" t="s">
        <v>1</v>
      </c>
      <c r="C161" t="s">
        <v>10</v>
      </c>
      <c r="D161">
        <v>13.19</v>
      </c>
      <c r="E161">
        <v>6</v>
      </c>
      <c r="F161">
        <v>22.11</v>
      </c>
      <c r="G161">
        <v>178.36</v>
      </c>
      <c r="H161">
        <v>73.86</v>
      </c>
      <c r="I161">
        <v>5.56</v>
      </c>
      <c r="J161" t="s">
        <v>65</v>
      </c>
      <c r="K161" t="s">
        <v>18</v>
      </c>
      <c r="L161">
        <v>47.84</v>
      </c>
      <c r="M161" s="5">
        <v>45340</v>
      </c>
      <c r="N161" s="5">
        <v>45477</v>
      </c>
      <c r="O161" s="5" t="str">
        <f>TEXT(Table1[[#This Row],[harvest_date]],"mmmm")</f>
        <v>July</v>
      </c>
      <c r="P161">
        <v>137</v>
      </c>
      <c r="Q161">
        <v>4200.4799999999996</v>
      </c>
      <c r="R161" t="s">
        <v>388</v>
      </c>
      <c r="S161" s="5">
        <v>45364</v>
      </c>
      <c r="T161">
        <v>21.551081</v>
      </c>
      <c r="U161">
        <v>86.077934999999997</v>
      </c>
      <c r="V161">
        <v>0.38</v>
      </c>
      <c r="W161" t="s">
        <v>32</v>
      </c>
      <c r="X161">
        <v>137</v>
      </c>
      <c r="Y161" t="s">
        <v>62</v>
      </c>
      <c r="Z161" t="s">
        <v>82</v>
      </c>
    </row>
    <row r="162" spans="1:26" x14ac:dyDescent="0.35">
      <c r="A162" t="s">
        <v>389</v>
      </c>
      <c r="B162" t="s">
        <v>3</v>
      </c>
      <c r="C162" t="s">
        <v>10</v>
      </c>
      <c r="D162">
        <v>14.58</v>
      </c>
      <c r="E162">
        <v>7.15</v>
      </c>
      <c r="F162">
        <v>22.44</v>
      </c>
      <c r="G162">
        <v>207.57</v>
      </c>
      <c r="H162">
        <v>72.23</v>
      </c>
      <c r="I162">
        <v>7.49</v>
      </c>
      <c r="J162" t="s">
        <v>80</v>
      </c>
      <c r="K162" t="s">
        <v>18</v>
      </c>
      <c r="L162">
        <v>5.98</v>
      </c>
      <c r="M162" s="5">
        <v>45298</v>
      </c>
      <c r="N162" s="5">
        <v>45445</v>
      </c>
      <c r="O162" s="5" t="str">
        <f>TEXT(Table1[[#This Row],[harvest_date]],"mmmm")</f>
        <v>June</v>
      </c>
      <c r="P162">
        <v>147</v>
      </c>
      <c r="Q162">
        <v>4583.95</v>
      </c>
      <c r="R162" t="s">
        <v>390</v>
      </c>
      <c r="S162" s="5">
        <v>45330</v>
      </c>
      <c r="T162">
        <v>12.299466000000001</v>
      </c>
      <c r="U162">
        <v>86.945509000000001</v>
      </c>
      <c r="V162">
        <v>0.79</v>
      </c>
      <c r="W162" t="s">
        <v>32</v>
      </c>
      <c r="X162">
        <v>147</v>
      </c>
      <c r="Y162" t="s">
        <v>62</v>
      </c>
      <c r="Z162" t="s">
        <v>63</v>
      </c>
    </row>
    <row r="163" spans="1:26" x14ac:dyDescent="0.35">
      <c r="A163" t="s">
        <v>391</v>
      </c>
      <c r="B163" t="s">
        <v>3</v>
      </c>
      <c r="C163" t="s">
        <v>11</v>
      </c>
      <c r="D163">
        <v>11.77</v>
      </c>
      <c r="E163">
        <v>7.35</v>
      </c>
      <c r="F163">
        <v>23.66</v>
      </c>
      <c r="G163">
        <v>231.11</v>
      </c>
      <c r="H163">
        <v>64.81</v>
      </c>
      <c r="I163">
        <v>6.3</v>
      </c>
      <c r="J163" t="s">
        <v>32</v>
      </c>
      <c r="K163" t="s">
        <v>18</v>
      </c>
      <c r="L163">
        <v>20.93</v>
      </c>
      <c r="M163" s="5">
        <v>45300</v>
      </c>
      <c r="N163" s="5">
        <v>45407</v>
      </c>
      <c r="O163" s="5" t="str">
        <f>TEXT(Table1[[#This Row],[harvest_date]],"mmmm")</f>
        <v>April</v>
      </c>
      <c r="P163">
        <v>107</v>
      </c>
      <c r="Q163">
        <v>3784.05</v>
      </c>
      <c r="R163" t="s">
        <v>392</v>
      </c>
      <c r="S163" s="5">
        <v>45319</v>
      </c>
      <c r="T163">
        <v>10.866236000000001</v>
      </c>
      <c r="U163">
        <v>82.383531000000005</v>
      </c>
      <c r="V163">
        <v>0.45</v>
      </c>
      <c r="W163" t="s">
        <v>31</v>
      </c>
      <c r="X163">
        <v>107</v>
      </c>
      <c r="Y163" t="s">
        <v>62</v>
      </c>
      <c r="Z163" t="s">
        <v>72</v>
      </c>
    </row>
    <row r="164" spans="1:26" x14ac:dyDescent="0.35">
      <c r="A164" t="s">
        <v>393</v>
      </c>
      <c r="B164" t="s">
        <v>5</v>
      </c>
      <c r="C164" t="s">
        <v>11</v>
      </c>
      <c r="D164">
        <v>40.9</v>
      </c>
      <c r="E164">
        <v>6.46</v>
      </c>
      <c r="F164">
        <v>16.75</v>
      </c>
      <c r="G164">
        <v>145.75</v>
      </c>
      <c r="H164">
        <v>60.96</v>
      </c>
      <c r="I164">
        <v>7.86</v>
      </c>
      <c r="J164" t="s">
        <v>65</v>
      </c>
      <c r="K164" t="s">
        <v>17</v>
      </c>
      <c r="L164">
        <v>49.73</v>
      </c>
      <c r="M164" s="5">
        <v>45377</v>
      </c>
      <c r="N164" s="5">
        <v>45468</v>
      </c>
      <c r="O164" s="5" t="str">
        <f>TEXT(Table1[[#This Row],[harvest_date]],"mmmm")</f>
        <v>June</v>
      </c>
      <c r="P164">
        <v>91</v>
      </c>
      <c r="Q164">
        <v>5957.61</v>
      </c>
      <c r="R164" t="s">
        <v>394</v>
      </c>
      <c r="S164" s="5">
        <v>45468</v>
      </c>
      <c r="T164">
        <v>18.977803000000002</v>
      </c>
      <c r="U164">
        <v>80.890355999999997</v>
      </c>
      <c r="V164">
        <v>0.59</v>
      </c>
      <c r="W164" t="s">
        <v>31</v>
      </c>
      <c r="X164">
        <v>91</v>
      </c>
      <c r="Y164" t="s">
        <v>67</v>
      </c>
      <c r="Z164" t="s">
        <v>82</v>
      </c>
    </row>
    <row r="165" spans="1:26" x14ac:dyDescent="0.35">
      <c r="A165" t="s">
        <v>395</v>
      </c>
      <c r="B165" t="s">
        <v>5</v>
      </c>
      <c r="C165" t="s">
        <v>14</v>
      </c>
      <c r="D165">
        <v>16.29</v>
      </c>
      <c r="E165">
        <v>6.14</v>
      </c>
      <c r="F165">
        <v>19.38</v>
      </c>
      <c r="G165">
        <v>273.94</v>
      </c>
      <c r="H165">
        <v>78.930000000000007</v>
      </c>
      <c r="I165">
        <v>4.3499999999999996</v>
      </c>
      <c r="J165" t="s">
        <v>32</v>
      </c>
      <c r="K165" t="s">
        <v>17</v>
      </c>
      <c r="L165">
        <v>21.08</v>
      </c>
      <c r="M165" s="5">
        <v>45359</v>
      </c>
      <c r="N165" s="5">
        <v>45459</v>
      </c>
      <c r="O165" s="5" t="str">
        <f>TEXT(Table1[[#This Row],[harvest_date]],"mmmm")</f>
        <v>June</v>
      </c>
      <c r="P165">
        <v>100</v>
      </c>
      <c r="Q165">
        <v>2400.54</v>
      </c>
      <c r="R165" t="s">
        <v>396</v>
      </c>
      <c r="S165" s="5">
        <v>45443</v>
      </c>
      <c r="T165">
        <v>16.02882</v>
      </c>
      <c r="U165">
        <v>80.673790999999994</v>
      </c>
      <c r="V165">
        <v>0.77</v>
      </c>
      <c r="W165" t="s">
        <v>32</v>
      </c>
      <c r="X165">
        <v>100</v>
      </c>
      <c r="Y165" t="s">
        <v>71</v>
      </c>
      <c r="Z165" t="s">
        <v>72</v>
      </c>
    </row>
    <row r="166" spans="1:26" x14ac:dyDescent="0.35">
      <c r="A166" t="s">
        <v>397</v>
      </c>
      <c r="B166" t="s">
        <v>4</v>
      </c>
      <c r="C166" t="s">
        <v>12</v>
      </c>
      <c r="D166">
        <v>39.630000000000003</v>
      </c>
      <c r="E166">
        <v>7.09</v>
      </c>
      <c r="F166">
        <v>22.1</v>
      </c>
      <c r="G166">
        <v>259.81</v>
      </c>
      <c r="H166">
        <v>82.26</v>
      </c>
      <c r="I166">
        <v>5.0599999999999996</v>
      </c>
      <c r="J166" t="s">
        <v>80</v>
      </c>
      <c r="K166" t="s">
        <v>17</v>
      </c>
      <c r="L166">
        <v>36.39</v>
      </c>
      <c r="M166" s="5">
        <v>45352</v>
      </c>
      <c r="N166" s="5">
        <v>45487</v>
      </c>
      <c r="O166" s="5" t="str">
        <f>TEXT(Table1[[#This Row],[harvest_date]],"mmmm")</f>
        <v>July</v>
      </c>
      <c r="P166">
        <v>135</v>
      </c>
      <c r="Q166">
        <v>4802.24</v>
      </c>
      <c r="R166" t="s">
        <v>398</v>
      </c>
      <c r="S166" s="5">
        <v>45388</v>
      </c>
      <c r="T166">
        <v>24.077722000000001</v>
      </c>
      <c r="U166">
        <v>73.764673000000002</v>
      </c>
      <c r="V166">
        <v>0.89</v>
      </c>
      <c r="W166" t="s">
        <v>33</v>
      </c>
      <c r="X166">
        <v>135</v>
      </c>
      <c r="Y166" t="s">
        <v>62</v>
      </c>
      <c r="Z166" t="s">
        <v>72</v>
      </c>
    </row>
    <row r="167" spans="1:26" x14ac:dyDescent="0.35">
      <c r="A167" t="s">
        <v>399</v>
      </c>
      <c r="B167" t="s">
        <v>2</v>
      </c>
      <c r="C167" t="s">
        <v>14</v>
      </c>
      <c r="D167">
        <v>16.14</v>
      </c>
      <c r="E167">
        <v>5.58</v>
      </c>
      <c r="F167">
        <v>16.12</v>
      </c>
      <c r="G167">
        <v>200.42</v>
      </c>
      <c r="H167">
        <v>41</v>
      </c>
      <c r="I167">
        <v>6.87</v>
      </c>
      <c r="J167" t="s">
        <v>80</v>
      </c>
      <c r="K167" t="s">
        <v>17</v>
      </c>
      <c r="L167">
        <v>14.07</v>
      </c>
      <c r="M167" s="5">
        <v>45302</v>
      </c>
      <c r="N167" s="5">
        <v>45437</v>
      </c>
      <c r="O167" s="5" t="str">
        <f>TEXT(Table1[[#This Row],[harvest_date]],"mmmm")</f>
        <v>May</v>
      </c>
      <c r="P167">
        <v>135</v>
      </c>
      <c r="Q167">
        <v>2709.84</v>
      </c>
      <c r="R167" t="s">
        <v>400</v>
      </c>
      <c r="S167" s="5">
        <v>45384</v>
      </c>
      <c r="T167">
        <v>11.488899</v>
      </c>
      <c r="U167">
        <v>72.954239999999999</v>
      </c>
      <c r="V167">
        <v>0.72</v>
      </c>
      <c r="W167" t="s">
        <v>30</v>
      </c>
      <c r="X167">
        <v>135</v>
      </c>
      <c r="Y167" t="s">
        <v>71</v>
      </c>
      <c r="Z167" t="s">
        <v>63</v>
      </c>
    </row>
    <row r="168" spans="1:26" x14ac:dyDescent="0.35">
      <c r="A168" t="s">
        <v>401</v>
      </c>
      <c r="B168" t="s">
        <v>3</v>
      </c>
      <c r="C168" t="s">
        <v>12</v>
      </c>
      <c r="D168">
        <v>40.119999999999997</v>
      </c>
      <c r="E168">
        <v>7.42</v>
      </c>
      <c r="F168">
        <v>22.47</v>
      </c>
      <c r="G168">
        <v>285.48</v>
      </c>
      <c r="H168">
        <v>59.78</v>
      </c>
      <c r="I168">
        <v>4.6100000000000003</v>
      </c>
      <c r="J168" t="s">
        <v>80</v>
      </c>
      <c r="K168" t="s">
        <v>19</v>
      </c>
      <c r="L168">
        <v>11.14</v>
      </c>
      <c r="M168" s="5">
        <v>45315</v>
      </c>
      <c r="N168" s="5">
        <v>45465</v>
      </c>
      <c r="O168" s="5" t="str">
        <f>TEXT(Table1[[#This Row],[harvest_date]],"mmmm")</f>
        <v>June</v>
      </c>
      <c r="P168">
        <v>150</v>
      </c>
      <c r="Q168">
        <v>3747.47</v>
      </c>
      <c r="R168" t="s">
        <v>402</v>
      </c>
      <c r="S168" s="5">
        <v>45439</v>
      </c>
      <c r="T168">
        <v>26.229507000000002</v>
      </c>
      <c r="U168">
        <v>73.484053000000003</v>
      </c>
      <c r="V168">
        <v>0.88</v>
      </c>
      <c r="W168" t="s">
        <v>31</v>
      </c>
      <c r="X168">
        <v>150</v>
      </c>
      <c r="Y168" t="s">
        <v>62</v>
      </c>
      <c r="Z168" t="s">
        <v>63</v>
      </c>
    </row>
    <row r="169" spans="1:26" x14ac:dyDescent="0.35">
      <c r="A169" t="s">
        <v>403</v>
      </c>
      <c r="B169" t="s">
        <v>4</v>
      </c>
      <c r="C169" t="s">
        <v>12</v>
      </c>
      <c r="D169">
        <v>38.51</v>
      </c>
      <c r="E169">
        <v>6.26</v>
      </c>
      <c r="F169">
        <v>29.68</v>
      </c>
      <c r="G169">
        <v>123.63</v>
      </c>
      <c r="H169">
        <v>48.89</v>
      </c>
      <c r="I169">
        <v>4.01</v>
      </c>
      <c r="J169" t="s">
        <v>32</v>
      </c>
      <c r="K169" t="s">
        <v>17</v>
      </c>
      <c r="L169">
        <v>6.46</v>
      </c>
      <c r="M169" s="5">
        <v>45362</v>
      </c>
      <c r="N169" s="5">
        <v>45510</v>
      </c>
      <c r="O169" s="5" t="str">
        <f>TEXT(Table1[[#This Row],[harvest_date]],"mmmm")</f>
        <v>August</v>
      </c>
      <c r="P169">
        <v>148</v>
      </c>
      <c r="Q169">
        <v>5235.2299999999996</v>
      </c>
      <c r="R169" t="s">
        <v>404</v>
      </c>
      <c r="S169" s="5">
        <v>45418</v>
      </c>
      <c r="T169">
        <v>25.991168999999999</v>
      </c>
      <c r="U169">
        <v>72.082205000000002</v>
      </c>
      <c r="V169">
        <v>0.6</v>
      </c>
      <c r="W169" t="s">
        <v>31</v>
      </c>
      <c r="X169">
        <v>148</v>
      </c>
      <c r="Y169" t="s">
        <v>67</v>
      </c>
      <c r="Z169" t="s">
        <v>63</v>
      </c>
    </row>
    <row r="170" spans="1:26" x14ac:dyDescent="0.35">
      <c r="A170" t="s">
        <v>405</v>
      </c>
      <c r="B170" t="s">
        <v>3</v>
      </c>
      <c r="C170" t="s">
        <v>10</v>
      </c>
      <c r="D170">
        <v>22.14</v>
      </c>
      <c r="E170">
        <v>6.14</v>
      </c>
      <c r="F170">
        <v>27.72</v>
      </c>
      <c r="G170">
        <v>290.77</v>
      </c>
      <c r="H170">
        <v>81.08</v>
      </c>
      <c r="I170">
        <v>8.02</v>
      </c>
      <c r="J170" t="s">
        <v>80</v>
      </c>
      <c r="K170" t="s">
        <v>19</v>
      </c>
      <c r="L170">
        <v>5.51</v>
      </c>
      <c r="M170" s="5">
        <v>45299</v>
      </c>
      <c r="N170" s="5">
        <v>45433</v>
      </c>
      <c r="O170" s="5" t="str">
        <f>TEXT(Table1[[#This Row],[harvest_date]],"mmmm")</f>
        <v>May</v>
      </c>
      <c r="P170">
        <v>134</v>
      </c>
      <c r="Q170">
        <v>2271.1799999999998</v>
      </c>
      <c r="R170" t="s">
        <v>406</v>
      </c>
      <c r="S170" s="5">
        <v>45364</v>
      </c>
      <c r="T170">
        <v>29.6755</v>
      </c>
      <c r="U170">
        <v>84.408271999999997</v>
      </c>
      <c r="V170">
        <v>0.33</v>
      </c>
      <c r="W170" t="s">
        <v>33</v>
      </c>
      <c r="X170">
        <v>134</v>
      </c>
      <c r="Y170" t="s">
        <v>71</v>
      </c>
      <c r="Z170" t="s">
        <v>63</v>
      </c>
    </row>
    <row r="171" spans="1:26" x14ac:dyDescent="0.35">
      <c r="A171" t="s">
        <v>407</v>
      </c>
      <c r="B171" t="s">
        <v>5</v>
      </c>
      <c r="C171" t="s">
        <v>10</v>
      </c>
      <c r="D171">
        <v>40.96</v>
      </c>
      <c r="E171">
        <v>6.49</v>
      </c>
      <c r="F171">
        <v>22.57</v>
      </c>
      <c r="G171">
        <v>186.51</v>
      </c>
      <c r="H171">
        <v>45.07</v>
      </c>
      <c r="I171">
        <v>6.88</v>
      </c>
      <c r="J171" t="s">
        <v>65</v>
      </c>
      <c r="K171" t="s">
        <v>18</v>
      </c>
      <c r="L171">
        <v>25.31</v>
      </c>
      <c r="M171" s="5">
        <v>45301</v>
      </c>
      <c r="N171" s="5">
        <v>45392</v>
      </c>
      <c r="O171" s="5" t="str">
        <f>TEXT(Table1[[#This Row],[harvest_date]],"mmmm")</f>
        <v>April</v>
      </c>
      <c r="P171">
        <v>91</v>
      </c>
      <c r="Q171">
        <v>3274.87</v>
      </c>
      <c r="R171" t="s">
        <v>408</v>
      </c>
      <c r="S171" s="5">
        <v>45314</v>
      </c>
      <c r="T171">
        <v>11.85501</v>
      </c>
      <c r="U171">
        <v>73.402103999999994</v>
      </c>
      <c r="V171">
        <v>0.53</v>
      </c>
      <c r="W171" t="s">
        <v>32</v>
      </c>
      <c r="X171">
        <v>91</v>
      </c>
      <c r="Y171" t="s">
        <v>62</v>
      </c>
      <c r="Z171" t="s">
        <v>72</v>
      </c>
    </row>
    <row r="172" spans="1:26" x14ac:dyDescent="0.35">
      <c r="A172" t="s">
        <v>409</v>
      </c>
      <c r="B172" t="s">
        <v>2</v>
      </c>
      <c r="C172" t="s">
        <v>13</v>
      </c>
      <c r="D172">
        <v>21.83</v>
      </c>
      <c r="E172">
        <v>7.47</v>
      </c>
      <c r="F172">
        <v>32.86</v>
      </c>
      <c r="G172">
        <v>226.13</v>
      </c>
      <c r="H172">
        <v>61.57</v>
      </c>
      <c r="I172">
        <v>7.92</v>
      </c>
      <c r="J172" t="s">
        <v>32</v>
      </c>
      <c r="K172" t="s">
        <v>18</v>
      </c>
      <c r="L172">
        <v>7.41</v>
      </c>
      <c r="M172" s="5">
        <v>45329</v>
      </c>
      <c r="N172" s="5">
        <v>45431</v>
      </c>
      <c r="O172" s="5" t="str">
        <f>TEXT(Table1[[#This Row],[harvest_date]],"mmmm")</f>
        <v>May</v>
      </c>
      <c r="P172">
        <v>102</v>
      </c>
      <c r="Q172">
        <v>3637.12</v>
      </c>
      <c r="R172" t="s">
        <v>410</v>
      </c>
      <c r="S172" s="5">
        <v>45399</v>
      </c>
      <c r="T172">
        <v>28.050953</v>
      </c>
      <c r="U172">
        <v>84.59948</v>
      </c>
      <c r="V172">
        <v>0.46</v>
      </c>
      <c r="W172" t="s">
        <v>31</v>
      </c>
      <c r="X172">
        <v>102</v>
      </c>
      <c r="Y172" t="s">
        <v>62</v>
      </c>
      <c r="Z172" t="s">
        <v>63</v>
      </c>
    </row>
    <row r="173" spans="1:26" x14ac:dyDescent="0.35">
      <c r="A173" t="s">
        <v>411</v>
      </c>
      <c r="B173" t="s">
        <v>1</v>
      </c>
      <c r="C173" t="s">
        <v>10</v>
      </c>
      <c r="D173">
        <v>13.36</v>
      </c>
      <c r="E173">
        <v>6.29</v>
      </c>
      <c r="F173">
        <v>25.99</v>
      </c>
      <c r="G173">
        <v>172.74</v>
      </c>
      <c r="H173">
        <v>42.73</v>
      </c>
      <c r="I173">
        <v>4.0199999999999996</v>
      </c>
      <c r="J173" t="s">
        <v>69</v>
      </c>
      <c r="K173" t="s">
        <v>19</v>
      </c>
      <c r="L173">
        <v>42.08</v>
      </c>
      <c r="M173" s="5">
        <v>45371</v>
      </c>
      <c r="N173" s="5">
        <v>45491</v>
      </c>
      <c r="O173" s="5" t="str">
        <f>TEXT(Table1[[#This Row],[harvest_date]],"mmmm")</f>
        <v>July</v>
      </c>
      <c r="P173">
        <v>120</v>
      </c>
      <c r="Q173">
        <v>2798.7</v>
      </c>
      <c r="R173" t="s">
        <v>412</v>
      </c>
      <c r="S173" s="5">
        <v>45374</v>
      </c>
      <c r="T173">
        <v>15.173825000000001</v>
      </c>
      <c r="U173">
        <v>82.763812999999999</v>
      </c>
      <c r="V173">
        <v>0.89</v>
      </c>
      <c r="W173" t="s">
        <v>33</v>
      </c>
      <c r="X173">
        <v>120</v>
      </c>
      <c r="Y173" t="s">
        <v>71</v>
      </c>
      <c r="Z173" t="s">
        <v>82</v>
      </c>
    </row>
    <row r="174" spans="1:26" x14ac:dyDescent="0.35">
      <c r="A174" t="s">
        <v>413</v>
      </c>
      <c r="B174" t="s">
        <v>3</v>
      </c>
      <c r="C174" t="s">
        <v>14</v>
      </c>
      <c r="D174">
        <v>37.47</v>
      </c>
      <c r="E174">
        <v>6.44</v>
      </c>
      <c r="F174">
        <v>32.9</v>
      </c>
      <c r="G174">
        <v>116.25</v>
      </c>
      <c r="H174">
        <v>72.09</v>
      </c>
      <c r="I174">
        <v>6.33</v>
      </c>
      <c r="J174" t="s">
        <v>80</v>
      </c>
      <c r="K174" t="s">
        <v>19</v>
      </c>
      <c r="L174">
        <v>21.62</v>
      </c>
      <c r="M174" s="5">
        <v>45324</v>
      </c>
      <c r="N174" s="5">
        <v>45430</v>
      </c>
      <c r="O174" s="5" t="str">
        <f>TEXT(Table1[[#This Row],[harvest_date]],"mmmm")</f>
        <v>May</v>
      </c>
      <c r="P174">
        <v>106</v>
      </c>
      <c r="Q174">
        <v>3758.96</v>
      </c>
      <c r="R174" t="s">
        <v>414</v>
      </c>
      <c r="S174" s="5">
        <v>45357</v>
      </c>
      <c r="T174">
        <v>15.656057000000001</v>
      </c>
      <c r="U174">
        <v>75.37124</v>
      </c>
      <c r="V174">
        <v>0.34</v>
      </c>
      <c r="W174" t="s">
        <v>32</v>
      </c>
      <c r="X174">
        <v>106</v>
      </c>
      <c r="Y174" t="s">
        <v>62</v>
      </c>
      <c r="Z174" t="s">
        <v>72</v>
      </c>
    </row>
    <row r="175" spans="1:26" x14ac:dyDescent="0.35">
      <c r="A175" t="s">
        <v>415</v>
      </c>
      <c r="B175" t="s">
        <v>3</v>
      </c>
      <c r="C175" t="s">
        <v>14</v>
      </c>
      <c r="D175">
        <v>38.29</v>
      </c>
      <c r="E175">
        <v>6.33</v>
      </c>
      <c r="F175">
        <v>30.13</v>
      </c>
      <c r="G175">
        <v>106.88</v>
      </c>
      <c r="H175">
        <v>43.05</v>
      </c>
      <c r="I175">
        <v>6.32</v>
      </c>
      <c r="J175" t="s">
        <v>32</v>
      </c>
      <c r="K175" t="s">
        <v>17</v>
      </c>
      <c r="L175">
        <v>35.92</v>
      </c>
      <c r="M175" s="5">
        <v>45341</v>
      </c>
      <c r="N175" s="5">
        <v>45487</v>
      </c>
      <c r="O175" s="5" t="str">
        <f>TEXT(Table1[[#This Row],[harvest_date]],"mmmm")</f>
        <v>July</v>
      </c>
      <c r="P175">
        <v>146</v>
      </c>
      <c r="Q175">
        <v>2942.57</v>
      </c>
      <c r="R175" t="s">
        <v>416</v>
      </c>
      <c r="S175" s="5">
        <v>45417</v>
      </c>
      <c r="T175">
        <v>11.973876000000001</v>
      </c>
      <c r="U175">
        <v>88.055543999999998</v>
      </c>
      <c r="V175">
        <v>0.73</v>
      </c>
      <c r="W175" t="s">
        <v>30</v>
      </c>
      <c r="X175">
        <v>146</v>
      </c>
      <c r="Y175" t="s">
        <v>71</v>
      </c>
      <c r="Z175" t="s">
        <v>72</v>
      </c>
    </row>
    <row r="176" spans="1:26" x14ac:dyDescent="0.35">
      <c r="A176" t="s">
        <v>417</v>
      </c>
      <c r="B176" t="s">
        <v>3</v>
      </c>
      <c r="C176" t="s">
        <v>11</v>
      </c>
      <c r="D176">
        <v>16.05</v>
      </c>
      <c r="E176">
        <v>7.47</v>
      </c>
      <c r="F176">
        <v>34.44</v>
      </c>
      <c r="G176">
        <v>252.12</v>
      </c>
      <c r="H176">
        <v>46.31</v>
      </c>
      <c r="I176">
        <v>6.54</v>
      </c>
      <c r="J176" t="s">
        <v>32</v>
      </c>
      <c r="K176" t="s">
        <v>18</v>
      </c>
      <c r="L176">
        <v>49.88</v>
      </c>
      <c r="M176" s="5">
        <v>45356</v>
      </c>
      <c r="N176" s="5">
        <v>45499</v>
      </c>
      <c r="O176" s="5" t="str">
        <f>TEXT(Table1[[#This Row],[harvest_date]],"mmmm")</f>
        <v>July</v>
      </c>
      <c r="P176">
        <v>143</v>
      </c>
      <c r="Q176">
        <v>4380.1899999999996</v>
      </c>
      <c r="R176" t="s">
        <v>418</v>
      </c>
      <c r="S176" s="5">
        <v>45437</v>
      </c>
      <c r="T176">
        <v>32.770111999999997</v>
      </c>
      <c r="U176">
        <v>88.283479</v>
      </c>
      <c r="V176">
        <v>0.34</v>
      </c>
      <c r="W176" t="s">
        <v>33</v>
      </c>
      <c r="X176">
        <v>143</v>
      </c>
      <c r="Y176" t="s">
        <v>62</v>
      </c>
      <c r="Z176" t="s">
        <v>82</v>
      </c>
    </row>
    <row r="177" spans="1:26" x14ac:dyDescent="0.35">
      <c r="A177" t="s">
        <v>419</v>
      </c>
      <c r="B177" t="s">
        <v>2</v>
      </c>
      <c r="C177" t="s">
        <v>11</v>
      </c>
      <c r="D177">
        <v>29.32</v>
      </c>
      <c r="E177">
        <v>7.21</v>
      </c>
      <c r="F177">
        <v>25.39</v>
      </c>
      <c r="G177">
        <v>279.29000000000002</v>
      </c>
      <c r="H177">
        <v>40.619999999999997</v>
      </c>
      <c r="I177">
        <v>8.1999999999999993</v>
      </c>
      <c r="J177" t="s">
        <v>32</v>
      </c>
      <c r="K177" t="s">
        <v>18</v>
      </c>
      <c r="L177">
        <v>23.65</v>
      </c>
      <c r="M177" s="5">
        <v>45310</v>
      </c>
      <c r="N177" s="5">
        <v>45437</v>
      </c>
      <c r="O177" s="5" t="str">
        <f>TEXT(Table1[[#This Row],[harvest_date]],"mmmm")</f>
        <v>May</v>
      </c>
      <c r="P177">
        <v>127</v>
      </c>
      <c r="Q177">
        <v>4330.71</v>
      </c>
      <c r="R177" t="s">
        <v>420</v>
      </c>
      <c r="S177" s="5">
        <v>45335</v>
      </c>
      <c r="T177">
        <v>33.123204000000001</v>
      </c>
      <c r="U177">
        <v>81.253675000000001</v>
      </c>
      <c r="V177">
        <v>0.36</v>
      </c>
      <c r="W177" t="s">
        <v>31</v>
      </c>
      <c r="X177">
        <v>127</v>
      </c>
      <c r="Y177" t="s">
        <v>62</v>
      </c>
      <c r="Z177" t="s">
        <v>72</v>
      </c>
    </row>
    <row r="178" spans="1:26" x14ac:dyDescent="0.35">
      <c r="A178" t="s">
        <v>421</v>
      </c>
      <c r="B178" t="s">
        <v>2</v>
      </c>
      <c r="C178" t="s">
        <v>14</v>
      </c>
      <c r="D178">
        <v>40.729999999999997</v>
      </c>
      <c r="E178">
        <v>6.03</v>
      </c>
      <c r="F178">
        <v>28.1</v>
      </c>
      <c r="G178">
        <v>193.01</v>
      </c>
      <c r="H178">
        <v>63.65</v>
      </c>
      <c r="I178">
        <v>5.03</v>
      </c>
      <c r="J178" t="s">
        <v>32</v>
      </c>
      <c r="K178" t="s">
        <v>18</v>
      </c>
      <c r="L178">
        <v>32.82</v>
      </c>
      <c r="M178" s="5">
        <v>45374</v>
      </c>
      <c r="N178" s="5">
        <v>45489</v>
      </c>
      <c r="O178" s="5" t="str">
        <f>TEXT(Table1[[#This Row],[harvest_date]],"mmmm")</f>
        <v>July</v>
      </c>
      <c r="P178">
        <v>115</v>
      </c>
      <c r="Q178">
        <v>2155.13</v>
      </c>
      <c r="R178" t="s">
        <v>422</v>
      </c>
      <c r="S178" s="5">
        <v>45487</v>
      </c>
      <c r="T178">
        <v>31.973941</v>
      </c>
      <c r="U178">
        <v>83.810275000000004</v>
      </c>
      <c r="V178">
        <v>0.33</v>
      </c>
      <c r="W178" t="s">
        <v>33</v>
      </c>
      <c r="X178">
        <v>115</v>
      </c>
      <c r="Y178" t="s">
        <v>71</v>
      </c>
      <c r="Z178" t="s">
        <v>72</v>
      </c>
    </row>
    <row r="179" spans="1:26" x14ac:dyDescent="0.35">
      <c r="A179" t="s">
        <v>423</v>
      </c>
      <c r="B179" t="s">
        <v>1</v>
      </c>
      <c r="C179" t="s">
        <v>14</v>
      </c>
      <c r="D179">
        <v>10.71</v>
      </c>
      <c r="E179">
        <v>7.13</v>
      </c>
      <c r="F179">
        <v>21.06</v>
      </c>
      <c r="G179">
        <v>120.09</v>
      </c>
      <c r="H179">
        <v>64.58</v>
      </c>
      <c r="I179">
        <v>8.18</v>
      </c>
      <c r="J179" t="s">
        <v>69</v>
      </c>
      <c r="K179" t="s">
        <v>18</v>
      </c>
      <c r="L179">
        <v>11.05</v>
      </c>
      <c r="M179" s="5">
        <v>45366</v>
      </c>
      <c r="N179" s="5">
        <v>45505</v>
      </c>
      <c r="O179" s="5" t="str">
        <f>TEXT(Table1[[#This Row],[harvest_date]],"mmmm")</f>
        <v>August</v>
      </c>
      <c r="P179">
        <v>139</v>
      </c>
      <c r="Q179">
        <v>5303.29</v>
      </c>
      <c r="R179" t="s">
        <v>424</v>
      </c>
      <c r="S179" s="5">
        <v>45434</v>
      </c>
      <c r="T179">
        <v>28.219985000000001</v>
      </c>
      <c r="U179">
        <v>82.099582999999996</v>
      </c>
      <c r="V179">
        <v>0.35</v>
      </c>
      <c r="W179" t="s">
        <v>33</v>
      </c>
      <c r="X179">
        <v>139</v>
      </c>
      <c r="Y179" t="s">
        <v>67</v>
      </c>
      <c r="Z179" t="s">
        <v>63</v>
      </c>
    </row>
    <row r="180" spans="1:26" x14ac:dyDescent="0.35">
      <c r="A180" t="s">
        <v>425</v>
      </c>
      <c r="B180" t="s">
        <v>4</v>
      </c>
      <c r="C180" t="s">
        <v>11</v>
      </c>
      <c r="D180">
        <v>35.93</v>
      </c>
      <c r="E180">
        <v>7.02</v>
      </c>
      <c r="F180">
        <v>32.340000000000003</v>
      </c>
      <c r="G180">
        <v>255.25</v>
      </c>
      <c r="H180">
        <v>65.760000000000005</v>
      </c>
      <c r="I180">
        <v>4.95</v>
      </c>
      <c r="J180" t="s">
        <v>80</v>
      </c>
      <c r="K180" t="s">
        <v>17</v>
      </c>
      <c r="L180">
        <v>27.81</v>
      </c>
      <c r="M180" s="5">
        <v>45316</v>
      </c>
      <c r="N180" s="5">
        <v>45460</v>
      </c>
      <c r="O180" s="5" t="str">
        <f>TEXT(Table1[[#This Row],[harvest_date]],"mmmm")</f>
        <v>June</v>
      </c>
      <c r="P180">
        <v>144</v>
      </c>
      <c r="Q180">
        <v>4097.1400000000003</v>
      </c>
      <c r="R180" t="s">
        <v>426</v>
      </c>
      <c r="S180" s="5">
        <v>45323</v>
      </c>
      <c r="T180">
        <v>14.343434</v>
      </c>
      <c r="U180">
        <v>87.503611000000006</v>
      </c>
      <c r="V180">
        <v>0.42</v>
      </c>
      <c r="W180" t="s">
        <v>32</v>
      </c>
      <c r="X180">
        <v>144</v>
      </c>
      <c r="Y180" t="s">
        <v>62</v>
      </c>
      <c r="Z180" t="s">
        <v>72</v>
      </c>
    </row>
    <row r="181" spans="1:26" x14ac:dyDescent="0.35">
      <c r="A181" t="s">
        <v>427</v>
      </c>
      <c r="B181" t="s">
        <v>4</v>
      </c>
      <c r="C181" t="s">
        <v>13</v>
      </c>
      <c r="D181">
        <v>25.98</v>
      </c>
      <c r="E181">
        <v>7.34</v>
      </c>
      <c r="F181">
        <v>29.09</v>
      </c>
      <c r="G181">
        <v>118.49</v>
      </c>
      <c r="H181">
        <v>81.180000000000007</v>
      </c>
      <c r="I181">
        <v>7.03</v>
      </c>
      <c r="J181" t="s">
        <v>69</v>
      </c>
      <c r="K181" t="s">
        <v>17</v>
      </c>
      <c r="L181">
        <v>6.38</v>
      </c>
      <c r="M181" s="5">
        <v>45338</v>
      </c>
      <c r="N181" s="5">
        <v>45466</v>
      </c>
      <c r="O181" s="5" t="str">
        <f>TEXT(Table1[[#This Row],[harvest_date]],"mmmm")</f>
        <v>June</v>
      </c>
      <c r="P181">
        <v>128</v>
      </c>
      <c r="Q181">
        <v>3784.41</v>
      </c>
      <c r="R181" t="s">
        <v>428</v>
      </c>
      <c r="S181" s="5">
        <v>45459</v>
      </c>
      <c r="T181">
        <v>24.672006</v>
      </c>
      <c r="U181">
        <v>76.995198000000002</v>
      </c>
      <c r="V181">
        <v>0.4</v>
      </c>
      <c r="W181" t="s">
        <v>31</v>
      </c>
      <c r="X181">
        <v>128</v>
      </c>
      <c r="Y181" t="s">
        <v>62</v>
      </c>
      <c r="Z181" t="s">
        <v>63</v>
      </c>
    </row>
    <row r="182" spans="1:26" x14ac:dyDescent="0.35">
      <c r="A182" t="s">
        <v>429</v>
      </c>
      <c r="B182" t="s">
        <v>3</v>
      </c>
      <c r="C182" t="s">
        <v>14</v>
      </c>
      <c r="D182">
        <v>10.96</v>
      </c>
      <c r="E182">
        <v>5.6</v>
      </c>
      <c r="F182">
        <v>32.08</v>
      </c>
      <c r="G182">
        <v>244.96</v>
      </c>
      <c r="H182">
        <v>50.72</v>
      </c>
      <c r="I182">
        <v>5.33</v>
      </c>
      <c r="J182" t="s">
        <v>65</v>
      </c>
      <c r="K182" t="s">
        <v>17</v>
      </c>
      <c r="L182">
        <v>14.3</v>
      </c>
      <c r="M182" s="5">
        <v>45365</v>
      </c>
      <c r="N182" s="5">
        <v>45487</v>
      </c>
      <c r="O182" s="5" t="str">
        <f>TEXT(Table1[[#This Row],[harvest_date]],"mmmm")</f>
        <v>July</v>
      </c>
      <c r="P182">
        <v>122</v>
      </c>
      <c r="Q182">
        <v>2080.21</v>
      </c>
      <c r="R182" t="s">
        <v>430</v>
      </c>
      <c r="S182" s="5">
        <v>45464</v>
      </c>
      <c r="T182">
        <v>34.178458999999997</v>
      </c>
      <c r="U182">
        <v>83.643995000000004</v>
      </c>
      <c r="V182">
        <v>0.57999999999999996</v>
      </c>
      <c r="W182" t="s">
        <v>30</v>
      </c>
      <c r="X182">
        <v>122</v>
      </c>
      <c r="Y182" t="s">
        <v>71</v>
      </c>
      <c r="Z182" t="s">
        <v>63</v>
      </c>
    </row>
    <row r="183" spans="1:26" x14ac:dyDescent="0.35">
      <c r="A183" t="s">
        <v>431</v>
      </c>
      <c r="B183" t="s">
        <v>4</v>
      </c>
      <c r="C183" t="s">
        <v>12</v>
      </c>
      <c r="D183">
        <v>38.03</v>
      </c>
      <c r="E183">
        <v>5.95</v>
      </c>
      <c r="F183">
        <v>27.17</v>
      </c>
      <c r="G183">
        <v>285.75</v>
      </c>
      <c r="H183">
        <v>75.64</v>
      </c>
      <c r="I183">
        <v>8.26</v>
      </c>
      <c r="J183" t="s">
        <v>80</v>
      </c>
      <c r="K183" t="s">
        <v>19</v>
      </c>
      <c r="L183">
        <v>45.3</v>
      </c>
      <c r="M183" s="5">
        <v>45337</v>
      </c>
      <c r="N183" s="5">
        <v>45443</v>
      </c>
      <c r="O183" s="5" t="str">
        <f>TEXT(Table1[[#This Row],[harvest_date]],"mmmm")</f>
        <v>May</v>
      </c>
      <c r="P183">
        <v>106</v>
      </c>
      <c r="Q183">
        <v>2872.84</v>
      </c>
      <c r="R183" t="s">
        <v>432</v>
      </c>
      <c r="S183" s="5">
        <v>45375</v>
      </c>
      <c r="T183">
        <v>26.929904000000001</v>
      </c>
      <c r="U183">
        <v>86.486215999999999</v>
      </c>
      <c r="V183">
        <v>0.54</v>
      </c>
      <c r="W183" t="s">
        <v>32</v>
      </c>
      <c r="X183">
        <v>106</v>
      </c>
      <c r="Y183" t="s">
        <v>71</v>
      </c>
      <c r="Z183" t="s">
        <v>82</v>
      </c>
    </row>
    <row r="184" spans="1:26" x14ac:dyDescent="0.35">
      <c r="A184" t="s">
        <v>433</v>
      </c>
      <c r="B184" t="s">
        <v>3</v>
      </c>
      <c r="C184" t="s">
        <v>12</v>
      </c>
      <c r="D184">
        <v>44.98</v>
      </c>
      <c r="E184">
        <v>7.43</v>
      </c>
      <c r="F184">
        <v>31.79</v>
      </c>
      <c r="G184">
        <v>190.36</v>
      </c>
      <c r="H184">
        <v>69.69</v>
      </c>
      <c r="I184">
        <v>5.7</v>
      </c>
      <c r="J184" t="s">
        <v>69</v>
      </c>
      <c r="K184" t="s">
        <v>19</v>
      </c>
      <c r="L184">
        <v>7.87</v>
      </c>
      <c r="M184" s="5">
        <v>45343</v>
      </c>
      <c r="N184" s="5">
        <v>45453</v>
      </c>
      <c r="O184" s="5" t="str">
        <f>TEXT(Table1[[#This Row],[harvest_date]],"mmmm")</f>
        <v>June</v>
      </c>
      <c r="P184">
        <v>110</v>
      </c>
      <c r="Q184">
        <v>5445.97</v>
      </c>
      <c r="R184" t="s">
        <v>434</v>
      </c>
      <c r="S184" s="5">
        <v>45376</v>
      </c>
      <c r="T184">
        <v>26.402989999999999</v>
      </c>
      <c r="U184">
        <v>89.043756000000002</v>
      </c>
      <c r="V184">
        <v>0.69</v>
      </c>
      <c r="W184" t="s">
        <v>30</v>
      </c>
      <c r="X184">
        <v>110</v>
      </c>
      <c r="Y184" t="s">
        <v>67</v>
      </c>
      <c r="Z184" t="s">
        <v>63</v>
      </c>
    </row>
    <row r="185" spans="1:26" x14ac:dyDescent="0.35">
      <c r="A185" t="s">
        <v>435</v>
      </c>
      <c r="B185" t="s">
        <v>4</v>
      </c>
      <c r="C185" t="s">
        <v>12</v>
      </c>
      <c r="D185">
        <v>36.79</v>
      </c>
      <c r="E185">
        <v>7.3</v>
      </c>
      <c r="F185">
        <v>31.11</v>
      </c>
      <c r="G185">
        <v>250.59</v>
      </c>
      <c r="H185">
        <v>70</v>
      </c>
      <c r="I185">
        <v>7.96</v>
      </c>
      <c r="J185" t="s">
        <v>65</v>
      </c>
      <c r="K185" t="s">
        <v>17</v>
      </c>
      <c r="L185">
        <v>6.15</v>
      </c>
      <c r="M185" s="5">
        <v>45332</v>
      </c>
      <c r="N185" s="5">
        <v>45438</v>
      </c>
      <c r="O185" s="5" t="str">
        <f>TEXT(Table1[[#This Row],[harvest_date]],"mmmm")</f>
        <v>May</v>
      </c>
      <c r="P185">
        <v>106</v>
      </c>
      <c r="Q185">
        <v>5627.65</v>
      </c>
      <c r="R185" t="s">
        <v>436</v>
      </c>
      <c r="S185" s="5">
        <v>45383</v>
      </c>
      <c r="T185">
        <v>19.706873000000002</v>
      </c>
      <c r="U185">
        <v>70.706379999999996</v>
      </c>
      <c r="V185">
        <v>0.72</v>
      </c>
      <c r="W185" t="s">
        <v>30</v>
      </c>
      <c r="X185">
        <v>106</v>
      </c>
      <c r="Y185" t="s">
        <v>67</v>
      </c>
      <c r="Z185" t="s">
        <v>63</v>
      </c>
    </row>
    <row r="186" spans="1:26" x14ac:dyDescent="0.35">
      <c r="A186" t="s">
        <v>437</v>
      </c>
      <c r="B186" t="s">
        <v>1</v>
      </c>
      <c r="C186" t="s">
        <v>10</v>
      </c>
      <c r="D186">
        <v>34.020000000000003</v>
      </c>
      <c r="E186">
        <v>6.78</v>
      </c>
      <c r="F186">
        <v>24.51</v>
      </c>
      <c r="G186">
        <v>285.17</v>
      </c>
      <c r="H186">
        <v>57.92</v>
      </c>
      <c r="I186">
        <v>5.8</v>
      </c>
      <c r="J186" t="s">
        <v>65</v>
      </c>
      <c r="K186" t="s">
        <v>17</v>
      </c>
      <c r="L186">
        <v>44.44</v>
      </c>
      <c r="M186" s="5">
        <v>45301</v>
      </c>
      <c r="N186" s="5">
        <v>45397</v>
      </c>
      <c r="O186" s="5" t="str">
        <f>TEXT(Table1[[#This Row],[harvest_date]],"mmmm")</f>
        <v>April</v>
      </c>
      <c r="P186">
        <v>96</v>
      </c>
      <c r="Q186">
        <v>3883.12</v>
      </c>
      <c r="R186" t="s">
        <v>438</v>
      </c>
      <c r="S186" s="5">
        <v>45395</v>
      </c>
      <c r="T186">
        <v>16.466296</v>
      </c>
      <c r="U186">
        <v>86.166876999999999</v>
      </c>
      <c r="V186">
        <v>0.76</v>
      </c>
      <c r="W186" t="s">
        <v>30</v>
      </c>
      <c r="X186">
        <v>96</v>
      </c>
      <c r="Y186" t="s">
        <v>62</v>
      </c>
      <c r="Z186" t="s">
        <v>82</v>
      </c>
    </row>
    <row r="187" spans="1:26" x14ac:dyDescent="0.35">
      <c r="A187" t="s">
        <v>439</v>
      </c>
      <c r="B187" t="s">
        <v>1</v>
      </c>
      <c r="C187" t="s">
        <v>13</v>
      </c>
      <c r="D187">
        <v>17.78</v>
      </c>
      <c r="E187">
        <v>5.95</v>
      </c>
      <c r="F187">
        <v>32.43</v>
      </c>
      <c r="G187">
        <v>155.12</v>
      </c>
      <c r="H187">
        <v>84.34</v>
      </c>
      <c r="I187">
        <v>6.23</v>
      </c>
      <c r="J187" t="s">
        <v>80</v>
      </c>
      <c r="K187" t="s">
        <v>19</v>
      </c>
      <c r="L187">
        <v>43.3</v>
      </c>
      <c r="M187" s="5">
        <v>45324</v>
      </c>
      <c r="N187" s="5">
        <v>45469</v>
      </c>
      <c r="O187" s="5" t="str">
        <f>TEXT(Table1[[#This Row],[harvest_date]],"mmmm")</f>
        <v>June</v>
      </c>
      <c r="P187">
        <v>145</v>
      </c>
      <c r="Q187">
        <v>4537.59</v>
      </c>
      <c r="R187" t="s">
        <v>440</v>
      </c>
      <c r="S187" s="5">
        <v>45342</v>
      </c>
      <c r="T187">
        <v>21.805492000000001</v>
      </c>
      <c r="U187">
        <v>73.890876000000006</v>
      </c>
      <c r="V187">
        <v>0.37</v>
      </c>
      <c r="W187" t="s">
        <v>33</v>
      </c>
      <c r="X187">
        <v>145</v>
      </c>
      <c r="Y187" t="s">
        <v>62</v>
      </c>
      <c r="Z187" t="s">
        <v>82</v>
      </c>
    </row>
    <row r="188" spans="1:26" x14ac:dyDescent="0.35">
      <c r="A188" t="s">
        <v>441</v>
      </c>
      <c r="B188" t="s">
        <v>2</v>
      </c>
      <c r="C188" t="s">
        <v>14</v>
      </c>
      <c r="D188">
        <v>24.46</v>
      </c>
      <c r="E188">
        <v>7.24</v>
      </c>
      <c r="F188">
        <v>18.02</v>
      </c>
      <c r="G188">
        <v>298.08999999999997</v>
      </c>
      <c r="H188">
        <v>57.13</v>
      </c>
      <c r="I188">
        <v>9.92</v>
      </c>
      <c r="J188" t="s">
        <v>32</v>
      </c>
      <c r="K188" t="s">
        <v>18</v>
      </c>
      <c r="L188">
        <v>19.239999999999998</v>
      </c>
      <c r="M188" s="5">
        <v>45357</v>
      </c>
      <c r="N188" s="5">
        <v>45496</v>
      </c>
      <c r="O188" s="5" t="str">
        <f>TEXT(Table1[[#This Row],[harvest_date]],"mmmm")</f>
        <v>July</v>
      </c>
      <c r="P188">
        <v>139</v>
      </c>
      <c r="Q188">
        <v>2323.25</v>
      </c>
      <c r="R188" t="s">
        <v>442</v>
      </c>
      <c r="S188" s="5">
        <v>45442</v>
      </c>
      <c r="T188">
        <v>25.775818999999998</v>
      </c>
      <c r="U188">
        <v>73.536484999999999</v>
      </c>
      <c r="V188">
        <v>0.68</v>
      </c>
      <c r="W188" t="s">
        <v>32</v>
      </c>
      <c r="X188">
        <v>139</v>
      </c>
      <c r="Y188" t="s">
        <v>71</v>
      </c>
      <c r="Z188" t="s">
        <v>72</v>
      </c>
    </row>
    <row r="189" spans="1:26" x14ac:dyDescent="0.35">
      <c r="A189" t="s">
        <v>443</v>
      </c>
      <c r="B189" t="s">
        <v>5</v>
      </c>
      <c r="C189" t="s">
        <v>14</v>
      </c>
      <c r="D189">
        <v>17.329999999999998</v>
      </c>
      <c r="E189">
        <v>7.05</v>
      </c>
      <c r="F189">
        <v>26.53</v>
      </c>
      <c r="G189">
        <v>89.61</v>
      </c>
      <c r="H189">
        <v>79.260000000000005</v>
      </c>
      <c r="I189">
        <v>8.68</v>
      </c>
      <c r="J189" t="s">
        <v>65</v>
      </c>
      <c r="K189" t="s">
        <v>17</v>
      </c>
      <c r="L189">
        <v>24.52</v>
      </c>
      <c r="M189" s="5">
        <v>45335</v>
      </c>
      <c r="N189" s="5">
        <v>45452</v>
      </c>
      <c r="O189" s="5" t="str">
        <f>TEXT(Table1[[#This Row],[harvest_date]],"mmmm")</f>
        <v>June</v>
      </c>
      <c r="P189">
        <v>117</v>
      </c>
      <c r="Q189">
        <v>5861.31</v>
      </c>
      <c r="R189" t="s">
        <v>444</v>
      </c>
      <c r="S189" s="5">
        <v>45384</v>
      </c>
      <c r="T189">
        <v>10.116728</v>
      </c>
      <c r="U189">
        <v>80.675651999999999</v>
      </c>
      <c r="V189">
        <v>0.74</v>
      </c>
      <c r="W189" t="s">
        <v>32</v>
      </c>
      <c r="X189">
        <v>117</v>
      </c>
      <c r="Y189" t="s">
        <v>67</v>
      </c>
      <c r="Z189" t="s">
        <v>72</v>
      </c>
    </row>
    <row r="190" spans="1:26" x14ac:dyDescent="0.35">
      <c r="A190" t="s">
        <v>445</v>
      </c>
      <c r="B190" t="s">
        <v>1</v>
      </c>
      <c r="C190" t="s">
        <v>12</v>
      </c>
      <c r="D190">
        <v>16.670000000000002</v>
      </c>
      <c r="E190">
        <v>6.85</v>
      </c>
      <c r="F190">
        <v>27.53</v>
      </c>
      <c r="G190">
        <v>112.21</v>
      </c>
      <c r="H190">
        <v>74.680000000000007</v>
      </c>
      <c r="I190">
        <v>6.07</v>
      </c>
      <c r="J190" t="s">
        <v>65</v>
      </c>
      <c r="K190" t="s">
        <v>18</v>
      </c>
      <c r="L190">
        <v>22.26</v>
      </c>
      <c r="M190" s="5">
        <v>45361</v>
      </c>
      <c r="N190" s="5">
        <v>45461</v>
      </c>
      <c r="O190" s="5" t="str">
        <f>TEXT(Table1[[#This Row],[harvest_date]],"mmmm")</f>
        <v>June</v>
      </c>
      <c r="P190">
        <v>100</v>
      </c>
      <c r="Q190">
        <v>2261.15</v>
      </c>
      <c r="R190" t="s">
        <v>446</v>
      </c>
      <c r="S190" s="5">
        <v>45366</v>
      </c>
      <c r="T190">
        <v>17.455055999999999</v>
      </c>
      <c r="U190">
        <v>75.816556000000006</v>
      </c>
      <c r="V190">
        <v>0.74</v>
      </c>
      <c r="W190" t="s">
        <v>31</v>
      </c>
      <c r="X190">
        <v>100</v>
      </c>
      <c r="Y190" t="s">
        <v>71</v>
      </c>
      <c r="Z190" t="s">
        <v>72</v>
      </c>
    </row>
    <row r="191" spans="1:26" x14ac:dyDescent="0.35">
      <c r="A191" t="s">
        <v>447</v>
      </c>
      <c r="B191" t="s">
        <v>5</v>
      </c>
      <c r="C191" t="s">
        <v>10</v>
      </c>
      <c r="D191">
        <v>22</v>
      </c>
      <c r="E191">
        <v>7.3</v>
      </c>
      <c r="F191">
        <v>22.19</v>
      </c>
      <c r="G191">
        <v>97.11</v>
      </c>
      <c r="H191">
        <v>87.4</v>
      </c>
      <c r="I191">
        <v>9.51</v>
      </c>
      <c r="J191" t="s">
        <v>32</v>
      </c>
      <c r="K191" t="s">
        <v>18</v>
      </c>
      <c r="L191">
        <v>15.28</v>
      </c>
      <c r="M191" s="5">
        <v>45356</v>
      </c>
      <c r="N191" s="5">
        <v>45459</v>
      </c>
      <c r="O191" s="5" t="str">
        <f>TEXT(Table1[[#This Row],[harvest_date]],"mmmm")</f>
        <v>June</v>
      </c>
      <c r="P191">
        <v>103</v>
      </c>
      <c r="Q191">
        <v>4936.3100000000004</v>
      </c>
      <c r="R191" t="s">
        <v>448</v>
      </c>
      <c r="S191" s="5">
        <v>45431</v>
      </c>
      <c r="T191">
        <v>22.615839000000001</v>
      </c>
      <c r="U191">
        <v>72.463239999999999</v>
      </c>
      <c r="V191">
        <v>0.73</v>
      </c>
      <c r="W191" t="s">
        <v>32</v>
      </c>
      <c r="X191">
        <v>103</v>
      </c>
      <c r="Y191" t="s">
        <v>62</v>
      </c>
      <c r="Z191" t="s">
        <v>72</v>
      </c>
    </row>
    <row r="192" spans="1:26" x14ac:dyDescent="0.35">
      <c r="A192" t="s">
        <v>449</v>
      </c>
      <c r="B192" t="s">
        <v>5</v>
      </c>
      <c r="C192" t="s">
        <v>14</v>
      </c>
      <c r="D192">
        <v>36.99</v>
      </c>
      <c r="E192">
        <v>6.75</v>
      </c>
      <c r="F192">
        <v>26.88</v>
      </c>
      <c r="G192">
        <v>61.99</v>
      </c>
      <c r="H192">
        <v>45.41</v>
      </c>
      <c r="I192">
        <v>9.02</v>
      </c>
      <c r="J192" t="s">
        <v>69</v>
      </c>
      <c r="K192" t="s">
        <v>17</v>
      </c>
      <c r="L192">
        <v>10.210000000000001</v>
      </c>
      <c r="M192" s="5">
        <v>45335</v>
      </c>
      <c r="N192" s="5">
        <v>45432</v>
      </c>
      <c r="O192" s="5" t="str">
        <f>TEXT(Table1[[#This Row],[harvest_date]],"mmmm")</f>
        <v>May</v>
      </c>
      <c r="P192">
        <v>97</v>
      </c>
      <c r="Q192">
        <v>4189.13</v>
      </c>
      <c r="R192" t="s">
        <v>450</v>
      </c>
      <c r="S192" s="5">
        <v>45395</v>
      </c>
      <c r="T192">
        <v>27.546704999999999</v>
      </c>
      <c r="U192">
        <v>74.109898000000001</v>
      </c>
      <c r="V192">
        <v>0.71</v>
      </c>
      <c r="W192" t="s">
        <v>32</v>
      </c>
      <c r="X192">
        <v>97</v>
      </c>
      <c r="Y192" t="s">
        <v>62</v>
      </c>
      <c r="Z192" t="s">
        <v>63</v>
      </c>
    </row>
    <row r="193" spans="1:26" x14ac:dyDescent="0.35">
      <c r="A193" t="s">
        <v>451</v>
      </c>
      <c r="B193" t="s">
        <v>1</v>
      </c>
      <c r="C193" t="s">
        <v>11</v>
      </c>
      <c r="D193">
        <v>33.159999999999997</v>
      </c>
      <c r="E193">
        <v>6.82</v>
      </c>
      <c r="F193">
        <v>20.399999999999999</v>
      </c>
      <c r="G193">
        <v>201.41</v>
      </c>
      <c r="H193">
        <v>46.86</v>
      </c>
      <c r="I193">
        <v>8.98</v>
      </c>
      <c r="J193" t="s">
        <v>69</v>
      </c>
      <c r="K193" t="s">
        <v>17</v>
      </c>
      <c r="L193">
        <v>37.340000000000003</v>
      </c>
      <c r="M193" s="5">
        <v>45301</v>
      </c>
      <c r="N193" s="5">
        <v>45398</v>
      </c>
      <c r="O193" s="5" t="str">
        <f>TEXT(Table1[[#This Row],[harvest_date]],"mmmm")</f>
        <v>April</v>
      </c>
      <c r="P193">
        <v>97</v>
      </c>
      <c r="Q193">
        <v>5139.04</v>
      </c>
      <c r="R193" t="s">
        <v>452</v>
      </c>
      <c r="S193" s="5">
        <v>45364</v>
      </c>
      <c r="T193">
        <v>14.966167</v>
      </c>
      <c r="U193">
        <v>73.994988000000006</v>
      </c>
      <c r="V193">
        <v>0.46</v>
      </c>
      <c r="W193" t="s">
        <v>30</v>
      </c>
      <c r="X193">
        <v>97</v>
      </c>
      <c r="Y193" t="s">
        <v>67</v>
      </c>
      <c r="Z193" t="s">
        <v>72</v>
      </c>
    </row>
    <row r="194" spans="1:26" x14ac:dyDescent="0.35">
      <c r="A194" t="s">
        <v>453</v>
      </c>
      <c r="B194" t="s">
        <v>1</v>
      </c>
      <c r="C194" t="s">
        <v>11</v>
      </c>
      <c r="D194">
        <v>20.34</v>
      </c>
      <c r="E194">
        <v>5.58</v>
      </c>
      <c r="F194">
        <v>24.93</v>
      </c>
      <c r="G194">
        <v>101.92</v>
      </c>
      <c r="H194">
        <v>86.66</v>
      </c>
      <c r="I194">
        <v>5.98</v>
      </c>
      <c r="J194" t="s">
        <v>69</v>
      </c>
      <c r="K194" t="s">
        <v>18</v>
      </c>
      <c r="L194">
        <v>35.22</v>
      </c>
      <c r="M194" s="5">
        <v>45318</v>
      </c>
      <c r="N194" s="5">
        <v>45444</v>
      </c>
      <c r="O194" s="5" t="str">
        <f>TEXT(Table1[[#This Row],[harvest_date]],"mmmm")</f>
        <v>June</v>
      </c>
      <c r="P194">
        <v>126</v>
      </c>
      <c r="Q194">
        <v>4676.09</v>
      </c>
      <c r="R194" t="s">
        <v>454</v>
      </c>
      <c r="S194" s="5">
        <v>45337</v>
      </c>
      <c r="T194">
        <v>33.736150000000002</v>
      </c>
      <c r="U194">
        <v>85.590524000000002</v>
      </c>
      <c r="V194">
        <v>0.35</v>
      </c>
      <c r="W194" t="s">
        <v>32</v>
      </c>
      <c r="X194">
        <v>126</v>
      </c>
      <c r="Y194" t="s">
        <v>62</v>
      </c>
      <c r="Z194" t="s">
        <v>72</v>
      </c>
    </row>
    <row r="195" spans="1:26" x14ac:dyDescent="0.35">
      <c r="A195" t="s">
        <v>455</v>
      </c>
      <c r="B195" t="s">
        <v>1</v>
      </c>
      <c r="C195" t="s">
        <v>10</v>
      </c>
      <c r="D195">
        <v>25.99</v>
      </c>
      <c r="E195">
        <v>7.45</v>
      </c>
      <c r="F195">
        <v>20.28</v>
      </c>
      <c r="G195">
        <v>62.52</v>
      </c>
      <c r="H195">
        <v>80.66</v>
      </c>
      <c r="I195">
        <v>9.24</v>
      </c>
      <c r="J195" t="s">
        <v>80</v>
      </c>
      <c r="K195" t="s">
        <v>19</v>
      </c>
      <c r="L195">
        <v>41.07</v>
      </c>
      <c r="M195" s="5">
        <v>45336</v>
      </c>
      <c r="N195" s="5">
        <v>45473</v>
      </c>
      <c r="O195" s="5" t="str">
        <f>TEXT(Table1[[#This Row],[harvest_date]],"mmmm")</f>
        <v>June</v>
      </c>
      <c r="P195">
        <v>137</v>
      </c>
      <c r="Q195">
        <v>2463.6</v>
      </c>
      <c r="R195" t="s">
        <v>456</v>
      </c>
      <c r="S195" s="5">
        <v>45347</v>
      </c>
      <c r="T195">
        <v>10.241808000000001</v>
      </c>
      <c r="U195">
        <v>72.767888999999997</v>
      </c>
      <c r="V195">
        <v>0.69</v>
      </c>
      <c r="W195" t="s">
        <v>31</v>
      </c>
      <c r="X195">
        <v>137</v>
      </c>
      <c r="Y195" t="s">
        <v>71</v>
      </c>
      <c r="Z195" t="s">
        <v>82</v>
      </c>
    </row>
    <row r="196" spans="1:26" x14ac:dyDescent="0.35">
      <c r="A196" t="s">
        <v>457</v>
      </c>
      <c r="B196" t="s">
        <v>1</v>
      </c>
      <c r="C196" t="s">
        <v>11</v>
      </c>
      <c r="D196">
        <v>43.43</v>
      </c>
      <c r="E196">
        <v>6.04</v>
      </c>
      <c r="F196">
        <v>29.66</v>
      </c>
      <c r="G196">
        <v>143.16</v>
      </c>
      <c r="H196">
        <v>57.14</v>
      </c>
      <c r="I196">
        <v>4.68</v>
      </c>
      <c r="J196" t="s">
        <v>32</v>
      </c>
      <c r="K196" t="s">
        <v>19</v>
      </c>
      <c r="L196">
        <v>17.23</v>
      </c>
      <c r="M196" s="5">
        <v>45345</v>
      </c>
      <c r="N196" s="5">
        <v>45489</v>
      </c>
      <c r="O196" s="5" t="str">
        <f>TEXT(Table1[[#This Row],[harvest_date]],"mmmm")</f>
        <v>July</v>
      </c>
      <c r="P196">
        <v>144</v>
      </c>
      <c r="Q196">
        <v>3912.98</v>
      </c>
      <c r="R196" t="s">
        <v>458</v>
      </c>
      <c r="S196" s="5">
        <v>45452</v>
      </c>
      <c r="T196">
        <v>26.221162</v>
      </c>
      <c r="U196">
        <v>85.938191000000003</v>
      </c>
      <c r="V196">
        <v>0.37</v>
      </c>
      <c r="W196" t="s">
        <v>32</v>
      </c>
      <c r="X196">
        <v>144</v>
      </c>
      <c r="Y196" t="s">
        <v>62</v>
      </c>
      <c r="Z196" t="s">
        <v>72</v>
      </c>
    </row>
    <row r="197" spans="1:26" x14ac:dyDescent="0.35">
      <c r="A197" t="s">
        <v>459</v>
      </c>
      <c r="B197" t="s">
        <v>4</v>
      </c>
      <c r="C197" t="s">
        <v>13</v>
      </c>
      <c r="D197">
        <v>24.56</v>
      </c>
      <c r="E197">
        <v>6.68</v>
      </c>
      <c r="F197">
        <v>31.05</v>
      </c>
      <c r="G197">
        <v>219.6</v>
      </c>
      <c r="H197">
        <v>49.06</v>
      </c>
      <c r="I197">
        <v>6.28</v>
      </c>
      <c r="J197" t="s">
        <v>80</v>
      </c>
      <c r="K197" t="s">
        <v>17</v>
      </c>
      <c r="L197">
        <v>6.3</v>
      </c>
      <c r="M197" s="5">
        <v>45378</v>
      </c>
      <c r="N197" s="5">
        <v>45514</v>
      </c>
      <c r="O197" s="5" t="str">
        <f>TEXT(Table1[[#This Row],[harvest_date]],"mmmm")</f>
        <v>August</v>
      </c>
      <c r="P197">
        <v>136</v>
      </c>
      <c r="Q197">
        <v>5893.78</v>
      </c>
      <c r="R197" t="s">
        <v>460</v>
      </c>
      <c r="S197" s="5">
        <v>45411</v>
      </c>
      <c r="T197">
        <v>22.076991</v>
      </c>
      <c r="U197">
        <v>79.762456</v>
      </c>
      <c r="V197">
        <v>0.83</v>
      </c>
      <c r="W197" t="s">
        <v>33</v>
      </c>
      <c r="X197">
        <v>136</v>
      </c>
      <c r="Y197" t="s">
        <v>67</v>
      </c>
      <c r="Z197" t="s">
        <v>63</v>
      </c>
    </row>
    <row r="198" spans="1:26" x14ac:dyDescent="0.35">
      <c r="A198" t="s">
        <v>461</v>
      </c>
      <c r="B198" t="s">
        <v>3</v>
      </c>
      <c r="C198" t="s">
        <v>13</v>
      </c>
      <c r="D198">
        <v>19.16</v>
      </c>
      <c r="E198">
        <v>6.13</v>
      </c>
      <c r="F198">
        <v>29.09</v>
      </c>
      <c r="G198">
        <v>219.48</v>
      </c>
      <c r="H198">
        <v>78.38</v>
      </c>
      <c r="I198">
        <v>7.46</v>
      </c>
      <c r="J198" t="s">
        <v>65</v>
      </c>
      <c r="K198" t="s">
        <v>17</v>
      </c>
      <c r="L198">
        <v>44.29</v>
      </c>
      <c r="M198" s="5">
        <v>45368</v>
      </c>
      <c r="N198" s="5">
        <v>45502</v>
      </c>
      <c r="O198" s="5" t="str">
        <f>TEXT(Table1[[#This Row],[harvest_date]],"mmmm")</f>
        <v>July</v>
      </c>
      <c r="P198">
        <v>134</v>
      </c>
      <c r="Q198">
        <v>4802.32</v>
      </c>
      <c r="R198" t="s">
        <v>462</v>
      </c>
      <c r="S198" s="5">
        <v>45392</v>
      </c>
      <c r="T198">
        <v>20.821197999999999</v>
      </c>
      <c r="U198">
        <v>84.533039000000002</v>
      </c>
      <c r="V198">
        <v>0.59</v>
      </c>
      <c r="W198" t="s">
        <v>33</v>
      </c>
      <c r="X198">
        <v>134</v>
      </c>
      <c r="Y198" t="s">
        <v>62</v>
      </c>
      <c r="Z198" t="s">
        <v>82</v>
      </c>
    </row>
    <row r="199" spans="1:26" x14ac:dyDescent="0.35">
      <c r="A199" t="s">
        <v>463</v>
      </c>
      <c r="B199" t="s">
        <v>4</v>
      </c>
      <c r="C199" t="s">
        <v>12</v>
      </c>
      <c r="D199">
        <v>41.22</v>
      </c>
      <c r="E199">
        <v>6.73</v>
      </c>
      <c r="F199">
        <v>15.23</v>
      </c>
      <c r="G199">
        <v>283.58999999999997</v>
      </c>
      <c r="H199">
        <v>65.28</v>
      </c>
      <c r="I199">
        <v>6.82</v>
      </c>
      <c r="J199" t="s">
        <v>32</v>
      </c>
      <c r="K199" t="s">
        <v>18</v>
      </c>
      <c r="L199">
        <v>8.3699999999999992</v>
      </c>
      <c r="M199" s="5">
        <v>45333</v>
      </c>
      <c r="N199" s="5">
        <v>45438</v>
      </c>
      <c r="O199" s="5" t="str">
        <f>TEXT(Table1[[#This Row],[harvest_date]],"mmmm")</f>
        <v>May</v>
      </c>
      <c r="P199">
        <v>105</v>
      </c>
      <c r="Q199">
        <v>3323.58</v>
      </c>
      <c r="R199" t="s">
        <v>464</v>
      </c>
      <c r="S199" s="5">
        <v>45368</v>
      </c>
      <c r="T199">
        <v>11.258768</v>
      </c>
      <c r="U199">
        <v>74.454130000000006</v>
      </c>
      <c r="V199">
        <v>0.69</v>
      </c>
      <c r="W199" t="s">
        <v>33</v>
      </c>
      <c r="X199">
        <v>105</v>
      </c>
      <c r="Y199" t="s">
        <v>62</v>
      </c>
      <c r="Z199" t="s">
        <v>63</v>
      </c>
    </row>
    <row r="200" spans="1:26" x14ac:dyDescent="0.35">
      <c r="A200" t="s">
        <v>465</v>
      </c>
      <c r="B200" t="s">
        <v>4</v>
      </c>
      <c r="C200" t="s">
        <v>13</v>
      </c>
      <c r="D200">
        <v>26.07</v>
      </c>
      <c r="E200">
        <v>7.1</v>
      </c>
      <c r="F200">
        <v>23.96</v>
      </c>
      <c r="G200">
        <v>264.14999999999998</v>
      </c>
      <c r="H200">
        <v>62.35</v>
      </c>
      <c r="I200">
        <v>4.71</v>
      </c>
      <c r="J200" t="s">
        <v>32</v>
      </c>
      <c r="K200" t="s">
        <v>17</v>
      </c>
      <c r="L200">
        <v>34.4</v>
      </c>
      <c r="M200" s="5">
        <v>45304</v>
      </c>
      <c r="N200" s="5">
        <v>45420</v>
      </c>
      <c r="O200" s="5" t="str">
        <f>TEXT(Table1[[#This Row],[harvest_date]],"mmmm")</f>
        <v>May</v>
      </c>
      <c r="P200">
        <v>116</v>
      </c>
      <c r="Q200">
        <v>2143.33</v>
      </c>
      <c r="R200" t="s">
        <v>466</v>
      </c>
      <c r="S200" s="5">
        <v>45374</v>
      </c>
      <c r="T200">
        <v>10.004243000000001</v>
      </c>
      <c r="U200">
        <v>71.817910999999995</v>
      </c>
      <c r="V200">
        <v>0.66</v>
      </c>
      <c r="W200" t="s">
        <v>31</v>
      </c>
      <c r="X200">
        <v>116</v>
      </c>
      <c r="Y200" t="s">
        <v>71</v>
      </c>
      <c r="Z200" t="s">
        <v>72</v>
      </c>
    </row>
    <row r="201" spans="1:26" x14ac:dyDescent="0.35">
      <c r="A201" t="s">
        <v>467</v>
      </c>
      <c r="B201" t="s">
        <v>2</v>
      </c>
      <c r="C201" t="s">
        <v>12</v>
      </c>
      <c r="D201">
        <v>17.239999999999998</v>
      </c>
      <c r="E201">
        <v>6.84</v>
      </c>
      <c r="F201">
        <v>34.01</v>
      </c>
      <c r="G201">
        <v>140.84</v>
      </c>
      <c r="H201">
        <v>42.71</v>
      </c>
      <c r="I201">
        <v>5.34</v>
      </c>
      <c r="J201" t="s">
        <v>32</v>
      </c>
      <c r="K201" t="s">
        <v>19</v>
      </c>
      <c r="L201">
        <v>30.21</v>
      </c>
      <c r="M201" s="5">
        <v>45371</v>
      </c>
      <c r="N201" s="5">
        <v>45491</v>
      </c>
      <c r="O201" s="5" t="str">
        <f>TEXT(Table1[[#This Row],[harvest_date]],"mmmm")</f>
        <v>July</v>
      </c>
      <c r="P201">
        <v>120</v>
      </c>
      <c r="Q201">
        <v>4866.63</v>
      </c>
      <c r="R201" t="s">
        <v>468</v>
      </c>
      <c r="S201" s="5">
        <v>45417</v>
      </c>
      <c r="T201">
        <v>27.897838</v>
      </c>
      <c r="U201">
        <v>72.280467000000002</v>
      </c>
      <c r="V201">
        <v>0.76</v>
      </c>
      <c r="W201" t="s">
        <v>30</v>
      </c>
      <c r="X201">
        <v>120</v>
      </c>
      <c r="Y201" t="s">
        <v>62</v>
      </c>
      <c r="Z201" t="s">
        <v>72</v>
      </c>
    </row>
    <row r="202" spans="1:26" x14ac:dyDescent="0.35">
      <c r="A202" t="s">
        <v>469</v>
      </c>
      <c r="B202" t="s">
        <v>3</v>
      </c>
      <c r="C202" t="s">
        <v>14</v>
      </c>
      <c r="D202">
        <v>22.43</v>
      </c>
      <c r="E202">
        <v>6.77</v>
      </c>
      <c r="F202">
        <v>31</v>
      </c>
      <c r="G202">
        <v>186.92</v>
      </c>
      <c r="H202">
        <v>58.69</v>
      </c>
      <c r="I202">
        <v>4.6399999999999997</v>
      </c>
      <c r="J202" t="s">
        <v>65</v>
      </c>
      <c r="K202" t="s">
        <v>19</v>
      </c>
      <c r="L202">
        <v>11.32</v>
      </c>
      <c r="M202" s="5">
        <v>45375</v>
      </c>
      <c r="N202" s="5">
        <v>45511</v>
      </c>
      <c r="O202" s="5" t="str">
        <f>TEXT(Table1[[#This Row],[harvest_date]],"mmmm")</f>
        <v>August</v>
      </c>
      <c r="P202">
        <v>136</v>
      </c>
      <c r="Q202">
        <v>3636.84</v>
      </c>
      <c r="R202" t="s">
        <v>470</v>
      </c>
      <c r="S202" s="5">
        <v>45440</v>
      </c>
      <c r="T202">
        <v>25.271294000000001</v>
      </c>
      <c r="U202">
        <v>73.750867999999997</v>
      </c>
      <c r="V202">
        <v>0.86</v>
      </c>
      <c r="W202" t="s">
        <v>33</v>
      </c>
      <c r="X202">
        <v>136</v>
      </c>
      <c r="Y202" t="s">
        <v>62</v>
      </c>
      <c r="Z202" t="s">
        <v>63</v>
      </c>
    </row>
    <row r="203" spans="1:26" x14ac:dyDescent="0.35">
      <c r="A203" t="s">
        <v>471</v>
      </c>
      <c r="B203" t="s">
        <v>4</v>
      </c>
      <c r="C203" t="s">
        <v>11</v>
      </c>
      <c r="D203">
        <v>38.86</v>
      </c>
      <c r="E203">
        <v>5.88</v>
      </c>
      <c r="F203">
        <v>21.76</v>
      </c>
      <c r="G203">
        <v>239.29</v>
      </c>
      <c r="H203">
        <v>42.33</v>
      </c>
      <c r="I203">
        <v>7.8</v>
      </c>
      <c r="J203" t="s">
        <v>69</v>
      </c>
      <c r="K203" t="s">
        <v>19</v>
      </c>
      <c r="L203">
        <v>25.58</v>
      </c>
      <c r="M203" s="5">
        <v>45368</v>
      </c>
      <c r="N203" s="5">
        <v>45466</v>
      </c>
      <c r="O203" s="5" t="str">
        <f>TEXT(Table1[[#This Row],[harvest_date]],"mmmm")</f>
        <v>June</v>
      </c>
      <c r="P203">
        <v>98</v>
      </c>
      <c r="Q203">
        <v>5855.42</v>
      </c>
      <c r="R203" t="s">
        <v>472</v>
      </c>
      <c r="S203" s="5">
        <v>45368</v>
      </c>
      <c r="T203">
        <v>23.259108999999999</v>
      </c>
      <c r="U203">
        <v>70.971431999999993</v>
      </c>
      <c r="V203">
        <v>0.86</v>
      </c>
      <c r="W203" t="s">
        <v>33</v>
      </c>
      <c r="X203">
        <v>98</v>
      </c>
      <c r="Y203" t="s">
        <v>67</v>
      </c>
      <c r="Z203" t="s">
        <v>72</v>
      </c>
    </row>
    <row r="204" spans="1:26" x14ac:dyDescent="0.35">
      <c r="A204" t="s">
        <v>473</v>
      </c>
      <c r="B204" t="s">
        <v>2</v>
      </c>
      <c r="C204" t="s">
        <v>10</v>
      </c>
      <c r="D204">
        <v>34.21</v>
      </c>
      <c r="E204">
        <v>5.85</v>
      </c>
      <c r="F204">
        <v>31.3</v>
      </c>
      <c r="G204">
        <v>75.89</v>
      </c>
      <c r="H204">
        <v>72.88</v>
      </c>
      <c r="I204">
        <v>7.64</v>
      </c>
      <c r="J204" t="s">
        <v>80</v>
      </c>
      <c r="K204" t="s">
        <v>17</v>
      </c>
      <c r="L204">
        <v>44.66</v>
      </c>
      <c r="M204" s="5">
        <v>45342</v>
      </c>
      <c r="N204" s="5">
        <v>45490</v>
      </c>
      <c r="O204" s="5" t="str">
        <f>TEXT(Table1[[#This Row],[harvest_date]],"mmmm")</f>
        <v>July</v>
      </c>
      <c r="P204">
        <v>148</v>
      </c>
      <c r="Q204">
        <v>4770.0600000000004</v>
      </c>
      <c r="R204" t="s">
        <v>474</v>
      </c>
      <c r="S204" s="5">
        <v>45405</v>
      </c>
      <c r="T204">
        <v>16.839897000000001</v>
      </c>
      <c r="U204">
        <v>89.271871000000004</v>
      </c>
      <c r="V204">
        <v>0.88</v>
      </c>
      <c r="W204" t="s">
        <v>33</v>
      </c>
      <c r="X204">
        <v>148</v>
      </c>
      <c r="Y204" t="s">
        <v>62</v>
      </c>
      <c r="Z204" t="s">
        <v>82</v>
      </c>
    </row>
    <row r="205" spans="1:26" x14ac:dyDescent="0.35">
      <c r="A205" t="s">
        <v>475</v>
      </c>
      <c r="B205" t="s">
        <v>4</v>
      </c>
      <c r="C205" t="s">
        <v>10</v>
      </c>
      <c r="D205">
        <v>24.45</v>
      </c>
      <c r="E205">
        <v>6.9</v>
      </c>
      <c r="F205">
        <v>29.97</v>
      </c>
      <c r="G205">
        <v>124.73</v>
      </c>
      <c r="H205">
        <v>75.069999999999993</v>
      </c>
      <c r="I205">
        <v>9.16</v>
      </c>
      <c r="J205" t="s">
        <v>65</v>
      </c>
      <c r="K205" t="s">
        <v>18</v>
      </c>
      <c r="L205">
        <v>14.44</v>
      </c>
      <c r="M205" s="5">
        <v>45361</v>
      </c>
      <c r="N205" s="5">
        <v>45494</v>
      </c>
      <c r="O205" s="5" t="str">
        <f>TEXT(Table1[[#This Row],[harvest_date]],"mmmm")</f>
        <v>July</v>
      </c>
      <c r="P205">
        <v>133</v>
      </c>
      <c r="Q205">
        <v>3381.17</v>
      </c>
      <c r="R205" t="s">
        <v>476</v>
      </c>
      <c r="S205" s="5">
        <v>45394</v>
      </c>
      <c r="T205">
        <v>34.533386999999998</v>
      </c>
      <c r="U205">
        <v>83.001728</v>
      </c>
      <c r="V205">
        <v>0.87</v>
      </c>
      <c r="W205" t="s">
        <v>31</v>
      </c>
      <c r="X205">
        <v>133</v>
      </c>
      <c r="Y205" t="s">
        <v>62</v>
      </c>
      <c r="Z205" t="s">
        <v>63</v>
      </c>
    </row>
    <row r="206" spans="1:26" x14ac:dyDescent="0.35">
      <c r="A206" t="s">
        <v>477</v>
      </c>
      <c r="B206" t="s">
        <v>3</v>
      </c>
      <c r="C206" t="s">
        <v>14</v>
      </c>
      <c r="D206">
        <v>29.68</v>
      </c>
      <c r="E206">
        <v>6.67</v>
      </c>
      <c r="F206">
        <v>33.85</v>
      </c>
      <c r="G206">
        <v>227.53</v>
      </c>
      <c r="H206">
        <v>73.709999999999994</v>
      </c>
      <c r="I206">
        <v>9.36</v>
      </c>
      <c r="J206" t="s">
        <v>80</v>
      </c>
      <c r="K206" t="s">
        <v>19</v>
      </c>
      <c r="L206">
        <v>41.37</v>
      </c>
      <c r="M206" s="5">
        <v>45355</v>
      </c>
      <c r="N206" s="5">
        <v>45446</v>
      </c>
      <c r="O206" s="5" t="str">
        <f>TEXT(Table1[[#This Row],[harvest_date]],"mmmm")</f>
        <v>June</v>
      </c>
      <c r="P206">
        <v>91</v>
      </c>
      <c r="Q206">
        <v>3523.48</v>
      </c>
      <c r="R206" t="s">
        <v>478</v>
      </c>
      <c r="S206" s="5">
        <v>45361</v>
      </c>
      <c r="T206">
        <v>26.756354000000002</v>
      </c>
      <c r="U206">
        <v>73.998047999999997</v>
      </c>
      <c r="V206">
        <v>0.75</v>
      </c>
      <c r="W206" t="s">
        <v>30</v>
      </c>
      <c r="X206">
        <v>91</v>
      </c>
      <c r="Y206" t="s">
        <v>62</v>
      </c>
      <c r="Z206" t="s">
        <v>82</v>
      </c>
    </row>
    <row r="207" spans="1:26" x14ac:dyDescent="0.35">
      <c r="A207" t="s">
        <v>479</v>
      </c>
      <c r="B207" t="s">
        <v>1</v>
      </c>
      <c r="C207" t="s">
        <v>14</v>
      </c>
      <c r="D207">
        <v>15.12</v>
      </c>
      <c r="E207">
        <v>5.62</v>
      </c>
      <c r="F207">
        <v>30.69</v>
      </c>
      <c r="G207">
        <v>101</v>
      </c>
      <c r="H207">
        <v>67.06</v>
      </c>
      <c r="I207">
        <v>6.15</v>
      </c>
      <c r="J207" t="s">
        <v>32</v>
      </c>
      <c r="K207" t="s">
        <v>18</v>
      </c>
      <c r="L207">
        <v>32.72</v>
      </c>
      <c r="M207" s="5">
        <v>45375</v>
      </c>
      <c r="N207" s="5">
        <v>45500</v>
      </c>
      <c r="O207" s="5" t="str">
        <f>TEXT(Table1[[#This Row],[harvest_date]],"mmmm")</f>
        <v>July</v>
      </c>
      <c r="P207">
        <v>125</v>
      </c>
      <c r="Q207">
        <v>5459.37</v>
      </c>
      <c r="R207" t="s">
        <v>480</v>
      </c>
      <c r="S207" s="5">
        <v>45470</v>
      </c>
      <c r="T207">
        <v>26.177986000000001</v>
      </c>
      <c r="U207">
        <v>77.777732999999998</v>
      </c>
      <c r="V207">
        <v>0.61</v>
      </c>
      <c r="W207" t="s">
        <v>31</v>
      </c>
      <c r="X207">
        <v>125</v>
      </c>
      <c r="Y207" t="s">
        <v>67</v>
      </c>
      <c r="Z207" t="s">
        <v>72</v>
      </c>
    </row>
    <row r="208" spans="1:26" x14ac:dyDescent="0.35">
      <c r="A208" t="s">
        <v>481</v>
      </c>
      <c r="B208" t="s">
        <v>3</v>
      </c>
      <c r="C208" t="s">
        <v>11</v>
      </c>
      <c r="D208">
        <v>23.56</v>
      </c>
      <c r="E208">
        <v>7.41</v>
      </c>
      <c r="F208">
        <v>34.520000000000003</v>
      </c>
      <c r="G208">
        <v>128.16</v>
      </c>
      <c r="H208">
        <v>67.61</v>
      </c>
      <c r="I208">
        <v>4.08</v>
      </c>
      <c r="J208" t="s">
        <v>80</v>
      </c>
      <c r="K208" t="s">
        <v>18</v>
      </c>
      <c r="L208">
        <v>32.93</v>
      </c>
      <c r="M208" s="5">
        <v>45349</v>
      </c>
      <c r="N208" s="5">
        <v>45453</v>
      </c>
      <c r="O208" s="5" t="str">
        <f>TEXT(Table1[[#This Row],[harvest_date]],"mmmm")</f>
        <v>June</v>
      </c>
      <c r="P208">
        <v>104</v>
      </c>
      <c r="Q208">
        <v>5645.95</v>
      </c>
      <c r="R208" t="s">
        <v>482</v>
      </c>
      <c r="S208" s="5">
        <v>45439</v>
      </c>
      <c r="T208">
        <v>27.738636</v>
      </c>
      <c r="U208">
        <v>77.354821999999999</v>
      </c>
      <c r="V208">
        <v>0.65</v>
      </c>
      <c r="W208" t="s">
        <v>30</v>
      </c>
      <c r="X208">
        <v>104</v>
      </c>
      <c r="Y208" t="s">
        <v>67</v>
      </c>
      <c r="Z208" t="s">
        <v>72</v>
      </c>
    </row>
    <row r="209" spans="1:26" x14ac:dyDescent="0.35">
      <c r="A209" t="s">
        <v>483</v>
      </c>
      <c r="B209" t="s">
        <v>4</v>
      </c>
      <c r="C209" t="s">
        <v>14</v>
      </c>
      <c r="D209">
        <v>25.71</v>
      </c>
      <c r="E209">
        <v>7.47</v>
      </c>
      <c r="F209">
        <v>16.489999999999998</v>
      </c>
      <c r="G209">
        <v>290.62</v>
      </c>
      <c r="H209">
        <v>76.75</v>
      </c>
      <c r="I209">
        <v>4.72</v>
      </c>
      <c r="J209" t="s">
        <v>69</v>
      </c>
      <c r="K209" t="s">
        <v>19</v>
      </c>
      <c r="L209">
        <v>17.559999999999999</v>
      </c>
      <c r="M209" s="5">
        <v>45327</v>
      </c>
      <c r="N209" s="5">
        <v>45427</v>
      </c>
      <c r="O209" s="5" t="str">
        <f>TEXT(Table1[[#This Row],[harvest_date]],"mmmm")</f>
        <v>May</v>
      </c>
      <c r="P209">
        <v>100</v>
      </c>
      <c r="Q209">
        <v>4335.9399999999996</v>
      </c>
      <c r="R209" t="s">
        <v>484</v>
      </c>
      <c r="S209" s="5">
        <v>45359</v>
      </c>
      <c r="T209">
        <v>10.141128</v>
      </c>
      <c r="U209">
        <v>79.326627000000002</v>
      </c>
      <c r="V209">
        <v>0.86</v>
      </c>
      <c r="W209" t="s">
        <v>32</v>
      </c>
      <c r="X209">
        <v>100</v>
      </c>
      <c r="Y209" t="s">
        <v>62</v>
      </c>
      <c r="Z209" t="s">
        <v>72</v>
      </c>
    </row>
    <row r="210" spans="1:26" x14ac:dyDescent="0.35">
      <c r="A210" t="s">
        <v>485</v>
      </c>
      <c r="B210" t="s">
        <v>4</v>
      </c>
      <c r="C210" t="s">
        <v>14</v>
      </c>
      <c r="D210">
        <v>30.89</v>
      </c>
      <c r="E210">
        <v>7.05</v>
      </c>
      <c r="F210">
        <v>27.51</v>
      </c>
      <c r="G210">
        <v>260.77999999999997</v>
      </c>
      <c r="H210">
        <v>55.06</v>
      </c>
      <c r="I210">
        <v>8.74</v>
      </c>
      <c r="J210" t="s">
        <v>80</v>
      </c>
      <c r="K210" t="s">
        <v>18</v>
      </c>
      <c r="L210">
        <v>40.28</v>
      </c>
      <c r="M210" s="5">
        <v>45339</v>
      </c>
      <c r="N210" s="5">
        <v>45443</v>
      </c>
      <c r="O210" s="5" t="str">
        <f>TEXT(Table1[[#This Row],[harvest_date]],"mmmm")</f>
        <v>May</v>
      </c>
      <c r="P210">
        <v>104</v>
      </c>
      <c r="Q210">
        <v>5827.95</v>
      </c>
      <c r="R210" t="s">
        <v>486</v>
      </c>
      <c r="S210" s="5">
        <v>45405</v>
      </c>
      <c r="T210">
        <v>11.704412</v>
      </c>
      <c r="U210">
        <v>80.102806999999999</v>
      </c>
      <c r="V210">
        <v>0.55000000000000004</v>
      </c>
      <c r="W210" t="s">
        <v>33</v>
      </c>
      <c r="X210">
        <v>104</v>
      </c>
      <c r="Y210" t="s">
        <v>67</v>
      </c>
      <c r="Z210" t="s">
        <v>82</v>
      </c>
    </row>
    <row r="211" spans="1:26" x14ac:dyDescent="0.35">
      <c r="A211" t="s">
        <v>487</v>
      </c>
      <c r="B211" t="s">
        <v>3</v>
      </c>
      <c r="C211" t="s">
        <v>14</v>
      </c>
      <c r="D211">
        <v>17.739999999999998</v>
      </c>
      <c r="E211">
        <v>5.93</v>
      </c>
      <c r="F211">
        <v>21.64</v>
      </c>
      <c r="G211">
        <v>140.19999999999999</v>
      </c>
      <c r="H211">
        <v>50.92</v>
      </c>
      <c r="I211">
        <v>8.52</v>
      </c>
      <c r="J211" t="s">
        <v>32</v>
      </c>
      <c r="K211" t="s">
        <v>17</v>
      </c>
      <c r="L211">
        <v>42.07</v>
      </c>
      <c r="M211" s="5">
        <v>45352</v>
      </c>
      <c r="N211" s="5">
        <v>45449</v>
      </c>
      <c r="O211" s="5" t="str">
        <f>TEXT(Table1[[#This Row],[harvest_date]],"mmmm")</f>
        <v>June</v>
      </c>
      <c r="P211">
        <v>97</v>
      </c>
      <c r="Q211">
        <v>4675.75</v>
      </c>
      <c r="R211" t="s">
        <v>488</v>
      </c>
      <c r="S211" s="5">
        <v>45409</v>
      </c>
      <c r="T211">
        <v>16.008697000000002</v>
      </c>
      <c r="U211">
        <v>82.845286999999999</v>
      </c>
      <c r="V211">
        <v>0.85</v>
      </c>
      <c r="W211" t="s">
        <v>30</v>
      </c>
      <c r="X211">
        <v>97</v>
      </c>
      <c r="Y211" t="s">
        <v>62</v>
      </c>
      <c r="Z211" t="s">
        <v>82</v>
      </c>
    </row>
    <row r="212" spans="1:26" x14ac:dyDescent="0.35">
      <c r="A212" t="s">
        <v>489</v>
      </c>
      <c r="B212" t="s">
        <v>3</v>
      </c>
      <c r="C212" t="s">
        <v>14</v>
      </c>
      <c r="D212">
        <v>23.35</v>
      </c>
      <c r="E212">
        <v>7.09</v>
      </c>
      <c r="F212">
        <v>17.27</v>
      </c>
      <c r="G212">
        <v>114.15</v>
      </c>
      <c r="H212">
        <v>76.2</v>
      </c>
      <c r="I212">
        <v>4.1500000000000004</v>
      </c>
      <c r="J212" t="s">
        <v>80</v>
      </c>
      <c r="K212" t="s">
        <v>17</v>
      </c>
      <c r="L212">
        <v>41.13</v>
      </c>
      <c r="M212" s="5">
        <v>45338</v>
      </c>
      <c r="N212" s="5">
        <v>45430</v>
      </c>
      <c r="O212" s="5" t="str">
        <f>TEXT(Table1[[#This Row],[harvest_date]],"mmmm")</f>
        <v>May</v>
      </c>
      <c r="P212">
        <v>92</v>
      </c>
      <c r="Q212">
        <v>3185.74</v>
      </c>
      <c r="R212" t="s">
        <v>490</v>
      </c>
      <c r="S212" s="5">
        <v>45421</v>
      </c>
      <c r="T212">
        <v>14.812810000000001</v>
      </c>
      <c r="U212">
        <v>80.277894000000003</v>
      </c>
      <c r="V212">
        <v>0.87</v>
      </c>
      <c r="W212" t="s">
        <v>30</v>
      </c>
      <c r="X212">
        <v>92</v>
      </c>
      <c r="Y212" t="s">
        <v>62</v>
      </c>
      <c r="Z212" t="s">
        <v>82</v>
      </c>
    </row>
    <row r="213" spans="1:26" x14ac:dyDescent="0.35">
      <c r="A213" t="s">
        <v>491</v>
      </c>
      <c r="B213" t="s">
        <v>2</v>
      </c>
      <c r="C213" t="s">
        <v>12</v>
      </c>
      <c r="D213">
        <v>10.26</v>
      </c>
      <c r="E213">
        <v>5.63</v>
      </c>
      <c r="F213">
        <v>28.41</v>
      </c>
      <c r="G213">
        <v>243.4</v>
      </c>
      <c r="H213">
        <v>83.25</v>
      </c>
      <c r="I213">
        <v>6.55</v>
      </c>
      <c r="J213" t="s">
        <v>69</v>
      </c>
      <c r="K213" t="s">
        <v>18</v>
      </c>
      <c r="L213">
        <v>29.2</v>
      </c>
      <c r="M213" s="5">
        <v>45375</v>
      </c>
      <c r="N213" s="5">
        <v>45514</v>
      </c>
      <c r="O213" s="5" t="str">
        <f>TEXT(Table1[[#This Row],[harvest_date]],"mmmm")</f>
        <v>August</v>
      </c>
      <c r="P213">
        <v>139</v>
      </c>
      <c r="Q213">
        <v>3740.95</v>
      </c>
      <c r="R213" t="s">
        <v>492</v>
      </c>
      <c r="S213" s="5">
        <v>45393</v>
      </c>
      <c r="T213">
        <v>28.672270999999999</v>
      </c>
      <c r="U213">
        <v>73.075091999999998</v>
      </c>
      <c r="V213">
        <v>0.57999999999999996</v>
      </c>
      <c r="W213" t="s">
        <v>31</v>
      </c>
      <c r="X213">
        <v>139</v>
      </c>
      <c r="Y213" t="s">
        <v>62</v>
      </c>
      <c r="Z213" t="s">
        <v>72</v>
      </c>
    </row>
    <row r="214" spans="1:26" x14ac:dyDescent="0.35">
      <c r="A214" t="s">
        <v>493</v>
      </c>
      <c r="B214" t="s">
        <v>3</v>
      </c>
      <c r="C214" t="s">
        <v>13</v>
      </c>
      <c r="D214">
        <v>12.56</v>
      </c>
      <c r="E214">
        <v>5.86</v>
      </c>
      <c r="F214">
        <v>20.04</v>
      </c>
      <c r="G214">
        <v>67.61</v>
      </c>
      <c r="H214">
        <v>81.08</v>
      </c>
      <c r="I214">
        <v>9.4700000000000006</v>
      </c>
      <c r="J214" t="s">
        <v>32</v>
      </c>
      <c r="K214" t="s">
        <v>19</v>
      </c>
      <c r="L214">
        <v>25.3</v>
      </c>
      <c r="M214" s="5">
        <v>45336</v>
      </c>
      <c r="N214" s="5">
        <v>45446</v>
      </c>
      <c r="O214" s="5" t="str">
        <f>TEXT(Table1[[#This Row],[harvest_date]],"mmmm")</f>
        <v>June</v>
      </c>
      <c r="P214">
        <v>110</v>
      </c>
      <c r="Q214">
        <v>2067.56</v>
      </c>
      <c r="R214" t="s">
        <v>494</v>
      </c>
      <c r="S214" s="5">
        <v>45422</v>
      </c>
      <c r="T214">
        <v>12.957644</v>
      </c>
      <c r="U214">
        <v>70.117979000000005</v>
      </c>
      <c r="V214">
        <v>0.73</v>
      </c>
      <c r="W214" t="s">
        <v>32</v>
      </c>
      <c r="X214">
        <v>110</v>
      </c>
      <c r="Y214" t="s">
        <v>71</v>
      </c>
      <c r="Z214" t="s">
        <v>72</v>
      </c>
    </row>
    <row r="215" spans="1:26" x14ac:dyDescent="0.35">
      <c r="A215" t="s">
        <v>495</v>
      </c>
      <c r="B215" t="s">
        <v>2</v>
      </c>
      <c r="C215" t="s">
        <v>13</v>
      </c>
      <c r="D215">
        <v>34.53</v>
      </c>
      <c r="E215">
        <v>5.65</v>
      </c>
      <c r="F215">
        <v>33.56</v>
      </c>
      <c r="G215">
        <v>76.53</v>
      </c>
      <c r="H215">
        <v>79.34</v>
      </c>
      <c r="I215">
        <v>5.81</v>
      </c>
      <c r="J215" t="s">
        <v>69</v>
      </c>
      <c r="K215" t="s">
        <v>19</v>
      </c>
      <c r="L215">
        <v>39.44</v>
      </c>
      <c r="M215" s="5">
        <v>45335</v>
      </c>
      <c r="N215" s="5">
        <v>45450</v>
      </c>
      <c r="O215" s="5" t="str">
        <f>TEXT(Table1[[#This Row],[harvest_date]],"mmmm")</f>
        <v>June</v>
      </c>
      <c r="P215">
        <v>115</v>
      </c>
      <c r="Q215">
        <v>5288.49</v>
      </c>
      <c r="R215" t="s">
        <v>496</v>
      </c>
      <c r="S215" s="5">
        <v>45338</v>
      </c>
      <c r="T215">
        <v>21.849692000000001</v>
      </c>
      <c r="U215">
        <v>80.669354999999996</v>
      </c>
      <c r="V215">
        <v>0.38</v>
      </c>
      <c r="W215" t="s">
        <v>33</v>
      </c>
      <c r="X215">
        <v>115</v>
      </c>
      <c r="Y215" t="s">
        <v>67</v>
      </c>
      <c r="Z215" t="s">
        <v>82</v>
      </c>
    </row>
    <row r="216" spans="1:26" x14ac:dyDescent="0.35">
      <c r="A216" t="s">
        <v>497</v>
      </c>
      <c r="B216" t="s">
        <v>2</v>
      </c>
      <c r="C216" t="s">
        <v>14</v>
      </c>
      <c r="D216">
        <v>43.6</v>
      </c>
      <c r="E216">
        <v>5.79</v>
      </c>
      <c r="F216">
        <v>28.55</v>
      </c>
      <c r="G216">
        <v>278.54000000000002</v>
      </c>
      <c r="H216">
        <v>79.75</v>
      </c>
      <c r="I216">
        <v>8.3800000000000008</v>
      </c>
      <c r="J216" t="s">
        <v>80</v>
      </c>
      <c r="K216" t="s">
        <v>18</v>
      </c>
      <c r="L216">
        <v>29.91</v>
      </c>
      <c r="M216" s="5">
        <v>45356</v>
      </c>
      <c r="N216" s="5">
        <v>45453</v>
      </c>
      <c r="O216" s="5" t="str">
        <f>TEXT(Table1[[#This Row],[harvest_date]],"mmmm")</f>
        <v>June</v>
      </c>
      <c r="P216">
        <v>97</v>
      </c>
      <c r="Q216">
        <v>2167.09</v>
      </c>
      <c r="R216" t="s">
        <v>498</v>
      </c>
      <c r="S216" s="5">
        <v>45429</v>
      </c>
      <c r="T216">
        <v>24.916371999999999</v>
      </c>
      <c r="U216">
        <v>80.743041000000005</v>
      </c>
      <c r="V216">
        <v>0.87</v>
      </c>
      <c r="W216" t="s">
        <v>31</v>
      </c>
      <c r="X216">
        <v>97</v>
      </c>
      <c r="Y216" t="s">
        <v>71</v>
      </c>
      <c r="Z216" t="s">
        <v>72</v>
      </c>
    </row>
    <row r="217" spans="1:26" x14ac:dyDescent="0.35">
      <c r="A217" t="s">
        <v>499</v>
      </c>
      <c r="B217" t="s">
        <v>4</v>
      </c>
      <c r="C217" t="s">
        <v>14</v>
      </c>
      <c r="D217">
        <v>17.41</v>
      </c>
      <c r="E217">
        <v>7.31</v>
      </c>
      <c r="F217">
        <v>32.03</v>
      </c>
      <c r="G217">
        <v>85.61</v>
      </c>
      <c r="H217">
        <v>49.2</v>
      </c>
      <c r="I217">
        <v>7.7</v>
      </c>
      <c r="J217" t="s">
        <v>80</v>
      </c>
      <c r="K217" t="s">
        <v>18</v>
      </c>
      <c r="L217">
        <v>10.16</v>
      </c>
      <c r="M217" s="5">
        <v>45377</v>
      </c>
      <c r="N217" s="5">
        <v>45503</v>
      </c>
      <c r="O217" s="5" t="str">
        <f>TEXT(Table1[[#This Row],[harvest_date]],"mmmm")</f>
        <v>July</v>
      </c>
      <c r="P217">
        <v>126</v>
      </c>
      <c r="Q217">
        <v>5409</v>
      </c>
      <c r="R217" t="s">
        <v>500</v>
      </c>
      <c r="S217" s="5">
        <v>45485</v>
      </c>
      <c r="T217">
        <v>28.776045</v>
      </c>
      <c r="U217">
        <v>89.801528000000005</v>
      </c>
      <c r="V217">
        <v>0.63</v>
      </c>
      <c r="W217" t="s">
        <v>32</v>
      </c>
      <c r="X217">
        <v>126</v>
      </c>
      <c r="Y217" t="s">
        <v>67</v>
      </c>
      <c r="Z217" t="s">
        <v>63</v>
      </c>
    </row>
    <row r="218" spans="1:26" x14ac:dyDescent="0.35">
      <c r="A218" t="s">
        <v>501</v>
      </c>
      <c r="B218" t="s">
        <v>1</v>
      </c>
      <c r="C218" t="s">
        <v>13</v>
      </c>
      <c r="D218">
        <v>18.77</v>
      </c>
      <c r="E218">
        <v>5.89</v>
      </c>
      <c r="F218">
        <v>26.61</v>
      </c>
      <c r="G218">
        <v>287.88</v>
      </c>
      <c r="H218">
        <v>57.86</v>
      </c>
      <c r="I218">
        <v>8.0299999999999994</v>
      </c>
      <c r="J218" t="s">
        <v>65</v>
      </c>
      <c r="K218" t="s">
        <v>18</v>
      </c>
      <c r="L218">
        <v>17.829999999999998</v>
      </c>
      <c r="M218" s="5">
        <v>45298</v>
      </c>
      <c r="N218" s="5">
        <v>45408</v>
      </c>
      <c r="O218" s="5" t="str">
        <f>TEXT(Table1[[#This Row],[harvest_date]],"mmmm")</f>
        <v>April</v>
      </c>
      <c r="P218">
        <v>110</v>
      </c>
      <c r="Q218">
        <v>3943.44</v>
      </c>
      <c r="R218" t="s">
        <v>502</v>
      </c>
      <c r="S218" s="5">
        <v>45340</v>
      </c>
      <c r="T218">
        <v>25.408560999999999</v>
      </c>
      <c r="U218">
        <v>76.113510000000005</v>
      </c>
      <c r="V218">
        <v>0.65</v>
      </c>
      <c r="W218" t="s">
        <v>31</v>
      </c>
      <c r="X218">
        <v>110</v>
      </c>
      <c r="Y218" t="s">
        <v>62</v>
      </c>
      <c r="Z218" t="s">
        <v>72</v>
      </c>
    </row>
    <row r="219" spans="1:26" x14ac:dyDescent="0.35">
      <c r="A219" t="s">
        <v>503</v>
      </c>
      <c r="B219" t="s">
        <v>1</v>
      </c>
      <c r="C219" t="s">
        <v>11</v>
      </c>
      <c r="D219">
        <v>15.9</v>
      </c>
      <c r="E219">
        <v>6.13</v>
      </c>
      <c r="F219">
        <v>30.71</v>
      </c>
      <c r="G219">
        <v>228.05</v>
      </c>
      <c r="H219">
        <v>72.040000000000006</v>
      </c>
      <c r="I219">
        <v>5.66</v>
      </c>
      <c r="J219" t="s">
        <v>80</v>
      </c>
      <c r="K219" t="s">
        <v>18</v>
      </c>
      <c r="L219">
        <v>35.58</v>
      </c>
      <c r="M219" s="5">
        <v>45338</v>
      </c>
      <c r="N219" s="5">
        <v>45457</v>
      </c>
      <c r="O219" s="5" t="str">
        <f>TEXT(Table1[[#This Row],[harvest_date]],"mmmm")</f>
        <v>June</v>
      </c>
      <c r="P219">
        <v>119</v>
      </c>
      <c r="Q219">
        <v>3781.43</v>
      </c>
      <c r="R219" t="s">
        <v>504</v>
      </c>
      <c r="S219" s="5">
        <v>45437</v>
      </c>
      <c r="T219">
        <v>17.636794999999999</v>
      </c>
      <c r="U219">
        <v>81.033437000000006</v>
      </c>
      <c r="V219">
        <v>0.41</v>
      </c>
      <c r="W219" t="s">
        <v>32</v>
      </c>
      <c r="X219">
        <v>119</v>
      </c>
      <c r="Y219" t="s">
        <v>62</v>
      </c>
      <c r="Z219" t="s">
        <v>72</v>
      </c>
    </row>
    <row r="220" spans="1:26" x14ac:dyDescent="0.35">
      <c r="A220" t="s">
        <v>505</v>
      </c>
      <c r="B220" t="s">
        <v>1</v>
      </c>
      <c r="C220" t="s">
        <v>10</v>
      </c>
      <c r="D220">
        <v>41.2</v>
      </c>
      <c r="E220">
        <v>5.89</v>
      </c>
      <c r="F220">
        <v>29.67</v>
      </c>
      <c r="G220">
        <v>206.65</v>
      </c>
      <c r="H220">
        <v>76.37</v>
      </c>
      <c r="I220">
        <v>9.35</v>
      </c>
      <c r="J220" t="s">
        <v>69</v>
      </c>
      <c r="K220" t="s">
        <v>17</v>
      </c>
      <c r="L220">
        <v>31.05</v>
      </c>
      <c r="M220" s="5">
        <v>45358</v>
      </c>
      <c r="N220" s="5">
        <v>45506</v>
      </c>
      <c r="O220" s="5" t="str">
        <f>TEXT(Table1[[#This Row],[harvest_date]],"mmmm")</f>
        <v>August</v>
      </c>
      <c r="P220">
        <v>148</v>
      </c>
      <c r="Q220">
        <v>2146.63</v>
      </c>
      <c r="R220" t="s">
        <v>506</v>
      </c>
      <c r="S220" s="5">
        <v>45424</v>
      </c>
      <c r="T220">
        <v>23.586732999999999</v>
      </c>
      <c r="U220">
        <v>89.974564000000001</v>
      </c>
      <c r="V220">
        <v>0.57999999999999996</v>
      </c>
      <c r="W220" t="s">
        <v>30</v>
      </c>
      <c r="X220">
        <v>148</v>
      </c>
      <c r="Y220" t="s">
        <v>71</v>
      </c>
      <c r="Z220" t="s">
        <v>72</v>
      </c>
    </row>
    <row r="221" spans="1:26" x14ac:dyDescent="0.35">
      <c r="A221" t="s">
        <v>507</v>
      </c>
      <c r="B221" t="s">
        <v>1</v>
      </c>
      <c r="C221" t="s">
        <v>11</v>
      </c>
      <c r="D221">
        <v>17.82</v>
      </c>
      <c r="E221">
        <v>7.04</v>
      </c>
      <c r="F221">
        <v>29.66</v>
      </c>
      <c r="G221">
        <v>122.75</v>
      </c>
      <c r="H221">
        <v>63.24</v>
      </c>
      <c r="I221">
        <v>7.06</v>
      </c>
      <c r="J221" t="s">
        <v>32</v>
      </c>
      <c r="K221" t="s">
        <v>19</v>
      </c>
      <c r="L221">
        <v>27.6</v>
      </c>
      <c r="M221" s="5">
        <v>45359</v>
      </c>
      <c r="N221" s="5">
        <v>45503</v>
      </c>
      <c r="O221" s="5" t="str">
        <f>TEXT(Table1[[#This Row],[harvest_date]],"mmmm")</f>
        <v>July</v>
      </c>
      <c r="P221">
        <v>144</v>
      </c>
      <c r="Q221">
        <v>5856</v>
      </c>
      <c r="R221" t="s">
        <v>508</v>
      </c>
      <c r="S221" s="5">
        <v>45401</v>
      </c>
      <c r="T221">
        <v>28.930152</v>
      </c>
      <c r="U221">
        <v>72.807413999999994</v>
      </c>
      <c r="V221">
        <v>0.4</v>
      </c>
      <c r="W221" t="s">
        <v>30</v>
      </c>
      <c r="X221">
        <v>144</v>
      </c>
      <c r="Y221" t="s">
        <v>67</v>
      </c>
      <c r="Z221" t="s">
        <v>72</v>
      </c>
    </row>
    <row r="222" spans="1:26" x14ac:dyDescent="0.35">
      <c r="A222" t="s">
        <v>509</v>
      </c>
      <c r="B222" t="s">
        <v>5</v>
      </c>
      <c r="C222" t="s">
        <v>14</v>
      </c>
      <c r="D222">
        <v>11.41</v>
      </c>
      <c r="E222">
        <v>7.02</v>
      </c>
      <c r="F222">
        <v>19.63</v>
      </c>
      <c r="G222">
        <v>116.09</v>
      </c>
      <c r="H222">
        <v>51.7</v>
      </c>
      <c r="I222">
        <v>8.01</v>
      </c>
      <c r="J222" t="s">
        <v>80</v>
      </c>
      <c r="K222" t="s">
        <v>19</v>
      </c>
      <c r="L222">
        <v>26.14</v>
      </c>
      <c r="M222" s="5">
        <v>45324</v>
      </c>
      <c r="N222" s="5">
        <v>45416</v>
      </c>
      <c r="O222" s="5" t="str">
        <f>TEXT(Table1[[#This Row],[harvest_date]],"mmmm")</f>
        <v>May</v>
      </c>
      <c r="P222">
        <v>92</v>
      </c>
      <c r="Q222">
        <v>5922.36</v>
      </c>
      <c r="R222" t="s">
        <v>510</v>
      </c>
      <c r="S222" s="5">
        <v>45365</v>
      </c>
      <c r="T222">
        <v>12.580625</v>
      </c>
      <c r="U222">
        <v>89.368827999999993</v>
      </c>
      <c r="V222">
        <v>0.68</v>
      </c>
      <c r="W222" t="s">
        <v>31</v>
      </c>
      <c r="X222">
        <v>92</v>
      </c>
      <c r="Y222" t="s">
        <v>67</v>
      </c>
      <c r="Z222" t="s">
        <v>72</v>
      </c>
    </row>
    <row r="223" spans="1:26" x14ac:dyDescent="0.35">
      <c r="A223" t="s">
        <v>511</v>
      </c>
      <c r="B223" t="s">
        <v>1</v>
      </c>
      <c r="C223" t="s">
        <v>12</v>
      </c>
      <c r="D223">
        <v>29.05</v>
      </c>
      <c r="E223">
        <v>5.85</v>
      </c>
      <c r="F223">
        <v>28.07</v>
      </c>
      <c r="G223">
        <v>141.32</v>
      </c>
      <c r="H223">
        <v>72.67</v>
      </c>
      <c r="I223">
        <v>9.01</v>
      </c>
      <c r="J223" t="s">
        <v>80</v>
      </c>
      <c r="K223" t="s">
        <v>19</v>
      </c>
      <c r="L223">
        <v>48.77</v>
      </c>
      <c r="M223" s="5">
        <v>45308</v>
      </c>
      <c r="N223" s="5">
        <v>45423</v>
      </c>
      <c r="O223" s="5" t="str">
        <f>TEXT(Table1[[#This Row],[harvest_date]],"mmmm")</f>
        <v>May</v>
      </c>
      <c r="P223">
        <v>115</v>
      </c>
      <c r="Q223">
        <v>3411.59</v>
      </c>
      <c r="R223" t="s">
        <v>512</v>
      </c>
      <c r="S223" s="5">
        <v>45419</v>
      </c>
      <c r="T223">
        <v>18.625807999999999</v>
      </c>
      <c r="U223">
        <v>85.853149000000002</v>
      </c>
      <c r="V223">
        <v>0.83</v>
      </c>
      <c r="W223" t="s">
        <v>32</v>
      </c>
      <c r="X223">
        <v>115</v>
      </c>
      <c r="Y223" t="s">
        <v>62</v>
      </c>
      <c r="Z223" t="s">
        <v>82</v>
      </c>
    </row>
    <row r="224" spans="1:26" x14ac:dyDescent="0.35">
      <c r="A224" t="s">
        <v>513</v>
      </c>
      <c r="B224" t="s">
        <v>2</v>
      </c>
      <c r="C224" t="s">
        <v>10</v>
      </c>
      <c r="D224">
        <v>25.4</v>
      </c>
      <c r="E224">
        <v>5.96</v>
      </c>
      <c r="F224">
        <v>25.29</v>
      </c>
      <c r="G224">
        <v>120.2</v>
      </c>
      <c r="H224">
        <v>47.51</v>
      </c>
      <c r="I224">
        <v>4.9400000000000004</v>
      </c>
      <c r="J224" t="s">
        <v>69</v>
      </c>
      <c r="K224" t="s">
        <v>17</v>
      </c>
      <c r="L224">
        <v>15.37</v>
      </c>
      <c r="M224" s="5">
        <v>45346</v>
      </c>
      <c r="N224" s="5">
        <v>45443</v>
      </c>
      <c r="O224" s="5" t="str">
        <f>TEXT(Table1[[#This Row],[harvest_date]],"mmmm")</f>
        <v>May</v>
      </c>
      <c r="P224">
        <v>97</v>
      </c>
      <c r="Q224">
        <v>3926.07</v>
      </c>
      <c r="R224" t="s">
        <v>514</v>
      </c>
      <c r="S224" s="5">
        <v>45407</v>
      </c>
      <c r="T224">
        <v>21.975529000000002</v>
      </c>
      <c r="U224">
        <v>81.815817999999993</v>
      </c>
      <c r="V224">
        <v>0.69</v>
      </c>
      <c r="W224" t="s">
        <v>33</v>
      </c>
      <c r="X224">
        <v>97</v>
      </c>
      <c r="Y224" t="s">
        <v>62</v>
      </c>
      <c r="Z224" t="s">
        <v>72</v>
      </c>
    </row>
    <row r="225" spans="1:26" x14ac:dyDescent="0.35">
      <c r="A225" t="s">
        <v>515</v>
      </c>
      <c r="B225" t="s">
        <v>3</v>
      </c>
      <c r="C225" t="s">
        <v>10</v>
      </c>
      <c r="D225">
        <v>11.51</v>
      </c>
      <c r="E225">
        <v>6.65</v>
      </c>
      <c r="F225">
        <v>18.22</v>
      </c>
      <c r="G225">
        <v>207.39</v>
      </c>
      <c r="H225">
        <v>41.96</v>
      </c>
      <c r="I225">
        <v>7.43</v>
      </c>
      <c r="J225" t="s">
        <v>69</v>
      </c>
      <c r="K225" t="s">
        <v>18</v>
      </c>
      <c r="L225">
        <v>16.62</v>
      </c>
      <c r="M225" s="5">
        <v>45308</v>
      </c>
      <c r="N225" s="5">
        <v>45423</v>
      </c>
      <c r="O225" s="5" t="str">
        <f>TEXT(Table1[[#This Row],[harvest_date]],"mmmm")</f>
        <v>May</v>
      </c>
      <c r="P225">
        <v>115</v>
      </c>
      <c r="Q225">
        <v>4397.43</v>
      </c>
      <c r="R225" t="s">
        <v>516</v>
      </c>
      <c r="S225" s="5">
        <v>45380</v>
      </c>
      <c r="T225">
        <v>25.940567999999999</v>
      </c>
      <c r="U225">
        <v>87.570179999999993</v>
      </c>
      <c r="V225">
        <v>0.74</v>
      </c>
      <c r="W225" t="s">
        <v>31</v>
      </c>
      <c r="X225">
        <v>115</v>
      </c>
      <c r="Y225" t="s">
        <v>62</v>
      </c>
      <c r="Z225" t="s">
        <v>72</v>
      </c>
    </row>
    <row r="226" spans="1:26" x14ac:dyDescent="0.35">
      <c r="A226" t="s">
        <v>517</v>
      </c>
      <c r="B226" t="s">
        <v>3</v>
      </c>
      <c r="C226" t="s">
        <v>10</v>
      </c>
      <c r="D226">
        <v>25.72</v>
      </c>
      <c r="E226">
        <v>7.49</v>
      </c>
      <c r="F226">
        <v>32.35</v>
      </c>
      <c r="G226">
        <v>92.64</v>
      </c>
      <c r="H226">
        <v>81.52</v>
      </c>
      <c r="I226">
        <v>7.61</v>
      </c>
      <c r="J226" t="s">
        <v>65</v>
      </c>
      <c r="K226" t="s">
        <v>17</v>
      </c>
      <c r="L226">
        <v>34.68</v>
      </c>
      <c r="M226" s="5">
        <v>45328</v>
      </c>
      <c r="N226" s="5">
        <v>45464</v>
      </c>
      <c r="O226" s="5" t="str">
        <f>TEXT(Table1[[#This Row],[harvest_date]],"mmmm")</f>
        <v>June</v>
      </c>
      <c r="P226">
        <v>136</v>
      </c>
      <c r="Q226">
        <v>4742.3599999999997</v>
      </c>
      <c r="R226" t="s">
        <v>518</v>
      </c>
      <c r="S226" s="5">
        <v>45444</v>
      </c>
      <c r="T226">
        <v>24.913333999999999</v>
      </c>
      <c r="U226">
        <v>71.376857999999999</v>
      </c>
      <c r="V226">
        <v>0.53</v>
      </c>
      <c r="W226" t="s">
        <v>30</v>
      </c>
      <c r="X226">
        <v>136</v>
      </c>
      <c r="Y226" t="s">
        <v>62</v>
      </c>
      <c r="Z226" t="s">
        <v>72</v>
      </c>
    </row>
    <row r="227" spans="1:26" x14ac:dyDescent="0.35">
      <c r="A227" t="s">
        <v>519</v>
      </c>
      <c r="B227" t="s">
        <v>3</v>
      </c>
      <c r="C227" t="s">
        <v>13</v>
      </c>
      <c r="D227">
        <v>17.079999999999998</v>
      </c>
      <c r="E227">
        <v>7.22</v>
      </c>
      <c r="F227">
        <v>25.09</v>
      </c>
      <c r="G227">
        <v>154.94999999999999</v>
      </c>
      <c r="H227">
        <v>47.48</v>
      </c>
      <c r="I227">
        <v>4.58</v>
      </c>
      <c r="J227" t="s">
        <v>32</v>
      </c>
      <c r="K227" t="s">
        <v>17</v>
      </c>
      <c r="L227">
        <v>31.99</v>
      </c>
      <c r="M227" s="5">
        <v>45368</v>
      </c>
      <c r="N227" s="5">
        <v>45506</v>
      </c>
      <c r="O227" s="5" t="str">
        <f>TEXT(Table1[[#This Row],[harvest_date]],"mmmm")</f>
        <v>August</v>
      </c>
      <c r="P227">
        <v>138</v>
      </c>
      <c r="Q227">
        <v>2470.0700000000002</v>
      </c>
      <c r="R227" t="s">
        <v>520</v>
      </c>
      <c r="S227" s="5">
        <v>45491</v>
      </c>
      <c r="T227">
        <v>26.484815000000001</v>
      </c>
      <c r="U227">
        <v>88.039694999999995</v>
      </c>
      <c r="V227">
        <v>0.62</v>
      </c>
      <c r="W227" t="s">
        <v>32</v>
      </c>
      <c r="X227">
        <v>138</v>
      </c>
      <c r="Y227" t="s">
        <v>71</v>
      </c>
      <c r="Z227" t="s">
        <v>72</v>
      </c>
    </row>
    <row r="228" spans="1:26" x14ac:dyDescent="0.35">
      <c r="A228" t="s">
        <v>521</v>
      </c>
      <c r="B228" t="s">
        <v>5</v>
      </c>
      <c r="C228" t="s">
        <v>12</v>
      </c>
      <c r="D228">
        <v>24.72</v>
      </c>
      <c r="E228">
        <v>7.25</v>
      </c>
      <c r="F228">
        <v>28.95</v>
      </c>
      <c r="G228">
        <v>157.24</v>
      </c>
      <c r="H228">
        <v>86.92</v>
      </c>
      <c r="I228">
        <v>6.89</v>
      </c>
      <c r="J228" t="s">
        <v>32</v>
      </c>
      <c r="K228" t="s">
        <v>19</v>
      </c>
      <c r="L228">
        <v>31.51</v>
      </c>
      <c r="M228" s="5">
        <v>45376</v>
      </c>
      <c r="N228" s="5">
        <v>45519</v>
      </c>
      <c r="O228" s="5" t="str">
        <f>TEXT(Table1[[#This Row],[harvest_date]],"mmmm")</f>
        <v>August</v>
      </c>
      <c r="P228">
        <v>143</v>
      </c>
      <c r="Q228">
        <v>4786.83</v>
      </c>
      <c r="R228" t="s">
        <v>522</v>
      </c>
      <c r="S228" s="5">
        <v>45401</v>
      </c>
      <c r="T228">
        <v>20.637235</v>
      </c>
      <c r="U228">
        <v>75.090361000000001</v>
      </c>
      <c r="V228">
        <v>0.76</v>
      </c>
      <c r="W228" t="s">
        <v>32</v>
      </c>
      <c r="X228">
        <v>143</v>
      </c>
      <c r="Y228" t="s">
        <v>62</v>
      </c>
      <c r="Z228" t="s">
        <v>72</v>
      </c>
    </row>
    <row r="229" spans="1:26" x14ac:dyDescent="0.35">
      <c r="A229" t="s">
        <v>523</v>
      </c>
      <c r="B229" t="s">
        <v>1</v>
      </c>
      <c r="C229" t="s">
        <v>12</v>
      </c>
      <c r="D229">
        <v>40.69</v>
      </c>
      <c r="E229">
        <v>6.32</v>
      </c>
      <c r="F229">
        <v>18.78</v>
      </c>
      <c r="G229">
        <v>227.29</v>
      </c>
      <c r="H229">
        <v>79.47</v>
      </c>
      <c r="I229">
        <v>7.47</v>
      </c>
      <c r="J229" t="s">
        <v>69</v>
      </c>
      <c r="K229" t="s">
        <v>17</v>
      </c>
      <c r="L229">
        <v>5.32</v>
      </c>
      <c r="M229" s="5">
        <v>45358</v>
      </c>
      <c r="N229" s="5">
        <v>45492</v>
      </c>
      <c r="O229" s="5" t="str">
        <f>TEXT(Table1[[#This Row],[harvest_date]],"mmmm")</f>
        <v>July</v>
      </c>
      <c r="P229">
        <v>134</v>
      </c>
      <c r="Q229">
        <v>5217.1499999999996</v>
      </c>
      <c r="R229" t="s">
        <v>524</v>
      </c>
      <c r="S229" s="5">
        <v>45462</v>
      </c>
      <c r="T229">
        <v>19.056744999999999</v>
      </c>
      <c r="U229">
        <v>73.095572000000004</v>
      </c>
      <c r="V229">
        <v>0.69</v>
      </c>
      <c r="W229" t="s">
        <v>31</v>
      </c>
      <c r="X229">
        <v>134</v>
      </c>
      <c r="Y229" t="s">
        <v>67</v>
      </c>
      <c r="Z229" t="s">
        <v>63</v>
      </c>
    </row>
    <row r="230" spans="1:26" x14ac:dyDescent="0.35">
      <c r="A230" t="s">
        <v>525</v>
      </c>
      <c r="B230" t="s">
        <v>1</v>
      </c>
      <c r="C230" t="s">
        <v>12</v>
      </c>
      <c r="D230">
        <v>24.82</v>
      </c>
      <c r="E230">
        <v>6.23</v>
      </c>
      <c r="F230">
        <v>20.51</v>
      </c>
      <c r="G230">
        <v>220.15</v>
      </c>
      <c r="H230">
        <v>77.75</v>
      </c>
      <c r="I230">
        <v>6.48</v>
      </c>
      <c r="J230" t="s">
        <v>32</v>
      </c>
      <c r="K230" t="s">
        <v>18</v>
      </c>
      <c r="L230">
        <v>21.66</v>
      </c>
      <c r="M230" s="5">
        <v>45367</v>
      </c>
      <c r="N230" s="5">
        <v>45473</v>
      </c>
      <c r="O230" s="5" t="str">
        <f>TEXT(Table1[[#This Row],[harvest_date]],"mmmm")</f>
        <v>June</v>
      </c>
      <c r="P230">
        <v>106</v>
      </c>
      <c r="Q230">
        <v>5954.03</v>
      </c>
      <c r="R230" t="s">
        <v>526</v>
      </c>
      <c r="S230" s="5">
        <v>45440</v>
      </c>
      <c r="T230">
        <v>18.608908</v>
      </c>
      <c r="U230">
        <v>84.109892000000002</v>
      </c>
      <c r="V230">
        <v>0.74</v>
      </c>
      <c r="W230" t="s">
        <v>32</v>
      </c>
      <c r="X230">
        <v>106</v>
      </c>
      <c r="Y230" t="s">
        <v>67</v>
      </c>
      <c r="Z230" t="s">
        <v>72</v>
      </c>
    </row>
    <row r="231" spans="1:26" x14ac:dyDescent="0.35">
      <c r="A231" t="s">
        <v>527</v>
      </c>
      <c r="B231" t="s">
        <v>4</v>
      </c>
      <c r="C231" t="s">
        <v>11</v>
      </c>
      <c r="D231">
        <v>37.409999999999997</v>
      </c>
      <c r="E231">
        <v>7.4</v>
      </c>
      <c r="F231">
        <v>17.010000000000002</v>
      </c>
      <c r="G231">
        <v>177.09</v>
      </c>
      <c r="H231">
        <v>79.3</v>
      </c>
      <c r="I231">
        <v>8.81</v>
      </c>
      <c r="J231" t="s">
        <v>69</v>
      </c>
      <c r="K231" t="s">
        <v>18</v>
      </c>
      <c r="L231">
        <v>22.51</v>
      </c>
      <c r="M231" s="5">
        <v>45352</v>
      </c>
      <c r="N231" s="5">
        <v>45493</v>
      </c>
      <c r="O231" s="5" t="str">
        <f>TEXT(Table1[[#This Row],[harvest_date]],"mmmm")</f>
        <v>July</v>
      </c>
      <c r="P231">
        <v>141</v>
      </c>
      <c r="Q231">
        <v>2364.35</v>
      </c>
      <c r="R231" t="s">
        <v>528</v>
      </c>
      <c r="S231" s="5">
        <v>45389</v>
      </c>
      <c r="T231">
        <v>21.791716999999998</v>
      </c>
      <c r="U231">
        <v>82.004908999999998</v>
      </c>
      <c r="V231">
        <v>0.35</v>
      </c>
      <c r="W231" t="s">
        <v>31</v>
      </c>
      <c r="X231">
        <v>141</v>
      </c>
      <c r="Y231" t="s">
        <v>71</v>
      </c>
      <c r="Z231" t="s">
        <v>72</v>
      </c>
    </row>
    <row r="232" spans="1:26" x14ac:dyDescent="0.35">
      <c r="A232" t="s">
        <v>529</v>
      </c>
      <c r="B232" t="s">
        <v>4</v>
      </c>
      <c r="C232" t="s">
        <v>14</v>
      </c>
      <c r="D232">
        <v>12.8</v>
      </c>
      <c r="E232">
        <v>5.58</v>
      </c>
      <c r="F232">
        <v>22.69</v>
      </c>
      <c r="G232">
        <v>296.11</v>
      </c>
      <c r="H232">
        <v>70.7</v>
      </c>
      <c r="I232">
        <v>7.13</v>
      </c>
      <c r="J232" t="s">
        <v>69</v>
      </c>
      <c r="K232" t="s">
        <v>18</v>
      </c>
      <c r="L232">
        <v>33.81</v>
      </c>
      <c r="M232" s="5">
        <v>45323</v>
      </c>
      <c r="N232" s="5">
        <v>45425</v>
      </c>
      <c r="O232" s="5" t="str">
        <f>TEXT(Table1[[#This Row],[harvest_date]],"mmmm")</f>
        <v>May</v>
      </c>
      <c r="P232">
        <v>102</v>
      </c>
      <c r="Q232">
        <v>5402.27</v>
      </c>
      <c r="R232" t="s">
        <v>530</v>
      </c>
      <c r="S232" s="5">
        <v>45425</v>
      </c>
      <c r="T232">
        <v>22.953831999999998</v>
      </c>
      <c r="U232">
        <v>73.894930000000002</v>
      </c>
      <c r="V232">
        <v>0.77</v>
      </c>
      <c r="W232" t="s">
        <v>30</v>
      </c>
      <c r="X232">
        <v>102</v>
      </c>
      <c r="Y232" t="s">
        <v>67</v>
      </c>
      <c r="Z232" t="s">
        <v>72</v>
      </c>
    </row>
    <row r="233" spans="1:26" x14ac:dyDescent="0.35">
      <c r="A233" t="s">
        <v>531</v>
      </c>
      <c r="B233" t="s">
        <v>2</v>
      </c>
      <c r="C233" t="s">
        <v>10</v>
      </c>
      <c r="D233">
        <v>33.590000000000003</v>
      </c>
      <c r="E233">
        <v>6.22</v>
      </c>
      <c r="F233">
        <v>28.1</v>
      </c>
      <c r="G233">
        <v>293.91000000000003</v>
      </c>
      <c r="H233">
        <v>44.34</v>
      </c>
      <c r="I233">
        <v>5.66</v>
      </c>
      <c r="J233" t="s">
        <v>32</v>
      </c>
      <c r="K233" t="s">
        <v>19</v>
      </c>
      <c r="L233">
        <v>35.130000000000003</v>
      </c>
      <c r="M233" s="5">
        <v>45341</v>
      </c>
      <c r="N233" s="5">
        <v>45443</v>
      </c>
      <c r="O233" s="5" t="str">
        <f>TEXT(Table1[[#This Row],[harvest_date]],"mmmm")</f>
        <v>May</v>
      </c>
      <c r="P233">
        <v>102</v>
      </c>
      <c r="Q233">
        <v>4070.97</v>
      </c>
      <c r="R233" t="s">
        <v>532</v>
      </c>
      <c r="S233" s="5">
        <v>45435</v>
      </c>
      <c r="T233">
        <v>27.590547999999998</v>
      </c>
      <c r="U233">
        <v>88.383548000000005</v>
      </c>
      <c r="V233">
        <v>0.63</v>
      </c>
      <c r="W233" t="s">
        <v>31</v>
      </c>
      <c r="X233">
        <v>102</v>
      </c>
      <c r="Y233" t="s">
        <v>62</v>
      </c>
      <c r="Z233" t="s">
        <v>72</v>
      </c>
    </row>
    <row r="234" spans="1:26" x14ac:dyDescent="0.35">
      <c r="A234" t="s">
        <v>533</v>
      </c>
      <c r="B234" t="s">
        <v>1</v>
      </c>
      <c r="C234" t="s">
        <v>14</v>
      </c>
      <c r="D234">
        <v>17.920000000000002</v>
      </c>
      <c r="E234">
        <v>7.43</v>
      </c>
      <c r="F234">
        <v>24.1</v>
      </c>
      <c r="G234">
        <v>150.99</v>
      </c>
      <c r="H234">
        <v>40.229999999999997</v>
      </c>
      <c r="I234">
        <v>5.05</v>
      </c>
      <c r="J234" t="s">
        <v>69</v>
      </c>
      <c r="K234" t="s">
        <v>17</v>
      </c>
      <c r="L234">
        <v>8.26</v>
      </c>
      <c r="M234" s="5">
        <v>45333</v>
      </c>
      <c r="N234" s="5">
        <v>45483</v>
      </c>
      <c r="O234" s="5" t="str">
        <f>TEXT(Table1[[#This Row],[harvest_date]],"mmmm")</f>
        <v>July</v>
      </c>
      <c r="P234">
        <v>150</v>
      </c>
      <c r="Q234">
        <v>2468.04</v>
      </c>
      <c r="R234" t="s">
        <v>534</v>
      </c>
      <c r="S234" s="5">
        <v>45464</v>
      </c>
      <c r="T234">
        <v>33.917734000000003</v>
      </c>
      <c r="U234">
        <v>87.522261</v>
      </c>
      <c r="V234">
        <v>0.79</v>
      </c>
      <c r="W234" t="s">
        <v>31</v>
      </c>
      <c r="X234">
        <v>150</v>
      </c>
      <c r="Y234" t="s">
        <v>71</v>
      </c>
      <c r="Z234" t="s">
        <v>63</v>
      </c>
    </row>
    <row r="235" spans="1:26" x14ac:dyDescent="0.35">
      <c r="A235" t="s">
        <v>535</v>
      </c>
      <c r="B235" t="s">
        <v>5</v>
      </c>
      <c r="C235" t="s">
        <v>11</v>
      </c>
      <c r="D235">
        <v>29.71</v>
      </c>
      <c r="E235">
        <v>7.04</v>
      </c>
      <c r="F235">
        <v>30.15</v>
      </c>
      <c r="G235">
        <v>290.31</v>
      </c>
      <c r="H235">
        <v>62.94</v>
      </c>
      <c r="I235">
        <v>6.76</v>
      </c>
      <c r="J235" t="s">
        <v>69</v>
      </c>
      <c r="K235" t="s">
        <v>19</v>
      </c>
      <c r="L235">
        <v>10.23</v>
      </c>
      <c r="M235" s="5">
        <v>45304</v>
      </c>
      <c r="N235" s="5">
        <v>45434</v>
      </c>
      <c r="O235" s="5" t="str">
        <f>TEXT(Table1[[#This Row],[harvest_date]],"mmmm")</f>
        <v>May</v>
      </c>
      <c r="P235">
        <v>130</v>
      </c>
      <c r="Q235">
        <v>5154.62</v>
      </c>
      <c r="R235" t="s">
        <v>536</v>
      </c>
      <c r="S235" s="5">
        <v>45360</v>
      </c>
      <c r="T235">
        <v>26.922823999999999</v>
      </c>
      <c r="U235">
        <v>74.598602999999997</v>
      </c>
      <c r="V235">
        <v>0.49</v>
      </c>
      <c r="W235" t="s">
        <v>31</v>
      </c>
      <c r="X235">
        <v>130</v>
      </c>
      <c r="Y235" t="s">
        <v>67</v>
      </c>
      <c r="Z235" t="s">
        <v>63</v>
      </c>
    </row>
    <row r="236" spans="1:26" x14ac:dyDescent="0.35">
      <c r="A236" t="s">
        <v>537</v>
      </c>
      <c r="B236" t="s">
        <v>2</v>
      </c>
      <c r="C236" t="s">
        <v>12</v>
      </c>
      <c r="D236">
        <v>10.34</v>
      </c>
      <c r="E236">
        <v>7.16</v>
      </c>
      <c r="F236">
        <v>19.97</v>
      </c>
      <c r="G236">
        <v>73.25</v>
      </c>
      <c r="H236">
        <v>73.680000000000007</v>
      </c>
      <c r="I236">
        <v>8.93</v>
      </c>
      <c r="J236" t="s">
        <v>69</v>
      </c>
      <c r="K236" t="s">
        <v>17</v>
      </c>
      <c r="L236">
        <v>46.91</v>
      </c>
      <c r="M236" s="5">
        <v>45333</v>
      </c>
      <c r="N236" s="5">
        <v>45445</v>
      </c>
      <c r="O236" s="5" t="str">
        <f>TEXT(Table1[[#This Row],[harvest_date]],"mmmm")</f>
        <v>June</v>
      </c>
      <c r="P236">
        <v>112</v>
      </c>
      <c r="Q236">
        <v>2874.26</v>
      </c>
      <c r="R236" t="s">
        <v>538</v>
      </c>
      <c r="S236" s="5">
        <v>45406</v>
      </c>
      <c r="T236">
        <v>16.726894999999999</v>
      </c>
      <c r="U236">
        <v>88.942362000000003</v>
      </c>
      <c r="V236">
        <v>0.71</v>
      </c>
      <c r="W236" t="s">
        <v>30</v>
      </c>
      <c r="X236">
        <v>112</v>
      </c>
      <c r="Y236" t="s">
        <v>71</v>
      </c>
      <c r="Z236" t="s">
        <v>82</v>
      </c>
    </row>
    <row r="237" spans="1:26" x14ac:dyDescent="0.35">
      <c r="A237" t="s">
        <v>539</v>
      </c>
      <c r="B237" t="s">
        <v>5</v>
      </c>
      <c r="C237" t="s">
        <v>10</v>
      </c>
      <c r="D237">
        <v>18.22</v>
      </c>
      <c r="E237">
        <v>5.98</v>
      </c>
      <c r="F237">
        <v>20.309999999999999</v>
      </c>
      <c r="G237">
        <v>107.3</v>
      </c>
      <c r="H237">
        <v>81.75</v>
      </c>
      <c r="I237">
        <v>9.02</v>
      </c>
      <c r="J237" t="s">
        <v>80</v>
      </c>
      <c r="K237" t="s">
        <v>18</v>
      </c>
      <c r="L237">
        <v>40.049999999999997</v>
      </c>
      <c r="M237" s="5">
        <v>45294</v>
      </c>
      <c r="N237" s="5">
        <v>45427</v>
      </c>
      <c r="O237" s="5" t="str">
        <f>TEXT(Table1[[#This Row],[harvest_date]],"mmmm")</f>
        <v>May</v>
      </c>
      <c r="P237">
        <v>133</v>
      </c>
      <c r="Q237">
        <v>5823.12</v>
      </c>
      <c r="R237" t="s">
        <v>540</v>
      </c>
      <c r="S237" s="5">
        <v>45420</v>
      </c>
      <c r="T237">
        <v>25.345673999999999</v>
      </c>
      <c r="U237">
        <v>85.284884000000005</v>
      </c>
      <c r="V237">
        <v>0.62</v>
      </c>
      <c r="W237" t="s">
        <v>32</v>
      </c>
      <c r="X237">
        <v>133</v>
      </c>
      <c r="Y237" t="s">
        <v>67</v>
      </c>
      <c r="Z237" t="s">
        <v>82</v>
      </c>
    </row>
    <row r="238" spans="1:26" x14ac:dyDescent="0.35">
      <c r="A238" t="s">
        <v>541</v>
      </c>
      <c r="B238" t="s">
        <v>5</v>
      </c>
      <c r="C238" t="s">
        <v>14</v>
      </c>
      <c r="D238">
        <v>31.72</v>
      </c>
      <c r="E238">
        <v>6.48</v>
      </c>
      <c r="F238">
        <v>34.71</v>
      </c>
      <c r="G238">
        <v>274.25</v>
      </c>
      <c r="H238">
        <v>83.44</v>
      </c>
      <c r="I238">
        <v>6.94</v>
      </c>
      <c r="J238" t="s">
        <v>80</v>
      </c>
      <c r="K238" t="s">
        <v>19</v>
      </c>
      <c r="L238">
        <v>14.99</v>
      </c>
      <c r="M238" s="5">
        <v>45356</v>
      </c>
      <c r="N238" s="5">
        <v>45449</v>
      </c>
      <c r="O238" s="5" t="str">
        <f>TEXT(Table1[[#This Row],[harvest_date]],"mmmm")</f>
        <v>June</v>
      </c>
      <c r="P238">
        <v>93</v>
      </c>
      <c r="Q238">
        <v>4102.9399999999996</v>
      </c>
      <c r="R238" t="s">
        <v>542</v>
      </c>
      <c r="S238" s="5">
        <v>45410</v>
      </c>
      <c r="T238">
        <v>21.958002</v>
      </c>
      <c r="U238">
        <v>80.815359000000001</v>
      </c>
      <c r="V238">
        <v>0.6</v>
      </c>
      <c r="W238" t="s">
        <v>33</v>
      </c>
      <c r="X238">
        <v>93</v>
      </c>
      <c r="Y238" t="s">
        <v>62</v>
      </c>
      <c r="Z238" t="s">
        <v>72</v>
      </c>
    </row>
    <row r="239" spans="1:26" x14ac:dyDescent="0.35">
      <c r="A239" t="s">
        <v>543</v>
      </c>
      <c r="B239" t="s">
        <v>4</v>
      </c>
      <c r="C239" t="s">
        <v>11</v>
      </c>
      <c r="D239">
        <v>44.18</v>
      </c>
      <c r="E239">
        <v>6.9</v>
      </c>
      <c r="F239">
        <v>24.2</v>
      </c>
      <c r="G239">
        <v>222.3</v>
      </c>
      <c r="H239">
        <v>40.590000000000003</v>
      </c>
      <c r="I239">
        <v>5.26</v>
      </c>
      <c r="J239" t="s">
        <v>69</v>
      </c>
      <c r="K239" t="s">
        <v>19</v>
      </c>
      <c r="L239">
        <v>21.27</v>
      </c>
      <c r="M239" s="5">
        <v>45328</v>
      </c>
      <c r="N239" s="5">
        <v>45453</v>
      </c>
      <c r="O239" s="5" t="str">
        <f>TEXT(Table1[[#This Row],[harvest_date]],"mmmm")</f>
        <v>June</v>
      </c>
      <c r="P239">
        <v>125</v>
      </c>
      <c r="Q239">
        <v>3051.4</v>
      </c>
      <c r="R239" t="s">
        <v>544</v>
      </c>
      <c r="S239" s="5">
        <v>45362</v>
      </c>
      <c r="T239">
        <v>21.783633999999999</v>
      </c>
      <c r="U239">
        <v>82.261680999999996</v>
      </c>
      <c r="V239">
        <v>0.52</v>
      </c>
      <c r="W239" t="s">
        <v>33</v>
      </c>
      <c r="X239">
        <v>125</v>
      </c>
      <c r="Y239" t="s">
        <v>62</v>
      </c>
      <c r="Z239" t="s">
        <v>72</v>
      </c>
    </row>
    <row r="240" spans="1:26" x14ac:dyDescent="0.35">
      <c r="A240" t="s">
        <v>545</v>
      </c>
      <c r="B240" t="s">
        <v>5</v>
      </c>
      <c r="C240" t="s">
        <v>10</v>
      </c>
      <c r="D240">
        <v>24.67</v>
      </c>
      <c r="E240">
        <v>7</v>
      </c>
      <c r="F240">
        <v>22.3</v>
      </c>
      <c r="G240">
        <v>150.15</v>
      </c>
      <c r="H240">
        <v>62.54</v>
      </c>
      <c r="I240">
        <v>7.43</v>
      </c>
      <c r="J240" t="s">
        <v>65</v>
      </c>
      <c r="K240" t="s">
        <v>18</v>
      </c>
      <c r="L240">
        <v>37.44</v>
      </c>
      <c r="M240" s="5">
        <v>45309</v>
      </c>
      <c r="N240" s="5">
        <v>45426</v>
      </c>
      <c r="O240" s="5" t="str">
        <f>TEXT(Table1[[#This Row],[harvest_date]],"mmmm")</f>
        <v>May</v>
      </c>
      <c r="P240">
        <v>117</v>
      </c>
      <c r="Q240">
        <v>5425.23</v>
      </c>
      <c r="R240" t="s">
        <v>546</v>
      </c>
      <c r="S240" s="5">
        <v>45334</v>
      </c>
      <c r="T240">
        <v>13.646093</v>
      </c>
      <c r="U240">
        <v>89.182957999999999</v>
      </c>
      <c r="V240">
        <v>0.39</v>
      </c>
      <c r="W240" t="s">
        <v>32</v>
      </c>
      <c r="X240">
        <v>117</v>
      </c>
      <c r="Y240" t="s">
        <v>67</v>
      </c>
      <c r="Z240" t="s">
        <v>72</v>
      </c>
    </row>
    <row r="241" spans="1:26" x14ac:dyDescent="0.35">
      <c r="A241" t="s">
        <v>547</v>
      </c>
      <c r="B241" t="s">
        <v>4</v>
      </c>
      <c r="C241" t="s">
        <v>11</v>
      </c>
      <c r="D241">
        <v>27.49</v>
      </c>
      <c r="E241">
        <v>7.49</v>
      </c>
      <c r="F241">
        <v>31.99</v>
      </c>
      <c r="G241">
        <v>179.25</v>
      </c>
      <c r="H241">
        <v>76.03</v>
      </c>
      <c r="I241">
        <v>8.7100000000000009</v>
      </c>
      <c r="J241" t="s">
        <v>80</v>
      </c>
      <c r="K241" t="s">
        <v>19</v>
      </c>
      <c r="L241">
        <v>30.3</v>
      </c>
      <c r="M241" s="5">
        <v>45353</v>
      </c>
      <c r="N241" s="5">
        <v>45468</v>
      </c>
      <c r="O241" s="5" t="str">
        <f>TEXT(Table1[[#This Row],[harvest_date]],"mmmm")</f>
        <v>June</v>
      </c>
      <c r="P241">
        <v>115</v>
      </c>
      <c r="Q241">
        <v>2395.9</v>
      </c>
      <c r="R241" t="s">
        <v>548</v>
      </c>
      <c r="S241" s="5">
        <v>45373</v>
      </c>
      <c r="T241">
        <v>11.500909</v>
      </c>
      <c r="U241">
        <v>86.276360999999994</v>
      </c>
      <c r="V241">
        <v>0.59</v>
      </c>
      <c r="W241" t="s">
        <v>32</v>
      </c>
      <c r="X241">
        <v>115</v>
      </c>
      <c r="Y241" t="s">
        <v>71</v>
      </c>
      <c r="Z241" t="s">
        <v>72</v>
      </c>
    </row>
    <row r="242" spans="1:26" x14ac:dyDescent="0.35">
      <c r="A242" t="s">
        <v>549</v>
      </c>
      <c r="B242" t="s">
        <v>5</v>
      </c>
      <c r="C242" t="s">
        <v>14</v>
      </c>
      <c r="D242">
        <v>19.09</v>
      </c>
      <c r="E242">
        <v>6.22</v>
      </c>
      <c r="F242">
        <v>26.15</v>
      </c>
      <c r="G242">
        <v>252.5</v>
      </c>
      <c r="H242">
        <v>57.21</v>
      </c>
      <c r="I242">
        <v>6.47</v>
      </c>
      <c r="J242" t="s">
        <v>80</v>
      </c>
      <c r="K242" t="s">
        <v>17</v>
      </c>
      <c r="L242">
        <v>48.34</v>
      </c>
      <c r="M242" s="5">
        <v>45310</v>
      </c>
      <c r="N242" s="5">
        <v>45436</v>
      </c>
      <c r="O242" s="5" t="str">
        <f>TEXT(Table1[[#This Row],[harvest_date]],"mmmm")</f>
        <v>May</v>
      </c>
      <c r="P242">
        <v>126</v>
      </c>
      <c r="Q242">
        <v>4599.46</v>
      </c>
      <c r="R242" t="s">
        <v>550</v>
      </c>
      <c r="S242" s="5">
        <v>45378</v>
      </c>
      <c r="T242">
        <v>14.363471000000001</v>
      </c>
      <c r="U242">
        <v>85.606182000000004</v>
      </c>
      <c r="V242">
        <v>0.51</v>
      </c>
      <c r="W242" t="s">
        <v>33</v>
      </c>
      <c r="X242">
        <v>126</v>
      </c>
      <c r="Y242" t="s">
        <v>62</v>
      </c>
      <c r="Z242" t="s">
        <v>82</v>
      </c>
    </row>
    <row r="243" spans="1:26" x14ac:dyDescent="0.35">
      <c r="A243" t="s">
        <v>551</v>
      </c>
      <c r="B243" t="s">
        <v>5</v>
      </c>
      <c r="C243" t="s">
        <v>13</v>
      </c>
      <c r="D243">
        <v>23.34</v>
      </c>
      <c r="E243">
        <v>6.07</v>
      </c>
      <c r="F243">
        <v>27.63</v>
      </c>
      <c r="G243">
        <v>86.21</v>
      </c>
      <c r="H243">
        <v>48.38</v>
      </c>
      <c r="I243">
        <v>8.85</v>
      </c>
      <c r="J243" t="s">
        <v>80</v>
      </c>
      <c r="K243" t="s">
        <v>19</v>
      </c>
      <c r="L243">
        <v>33.409999999999997</v>
      </c>
      <c r="M243" s="5">
        <v>45364</v>
      </c>
      <c r="N243" s="5">
        <v>45508</v>
      </c>
      <c r="O243" s="5" t="str">
        <f>TEXT(Table1[[#This Row],[harvest_date]],"mmmm")</f>
        <v>August</v>
      </c>
      <c r="P243">
        <v>144</v>
      </c>
      <c r="Q243">
        <v>5628.29</v>
      </c>
      <c r="R243" t="s">
        <v>552</v>
      </c>
      <c r="S243" s="5">
        <v>45384</v>
      </c>
      <c r="T243">
        <v>14.049987</v>
      </c>
      <c r="U243">
        <v>74.564358999999996</v>
      </c>
      <c r="V243">
        <v>0.49</v>
      </c>
      <c r="W243" t="s">
        <v>31</v>
      </c>
      <c r="X243">
        <v>144</v>
      </c>
      <c r="Y243" t="s">
        <v>67</v>
      </c>
      <c r="Z243" t="s">
        <v>72</v>
      </c>
    </row>
    <row r="244" spans="1:26" x14ac:dyDescent="0.35">
      <c r="A244" t="s">
        <v>553</v>
      </c>
      <c r="B244" t="s">
        <v>1</v>
      </c>
      <c r="C244" t="s">
        <v>12</v>
      </c>
      <c r="D244">
        <v>32.56</v>
      </c>
      <c r="E244">
        <v>6.04</v>
      </c>
      <c r="F244">
        <v>23.9</v>
      </c>
      <c r="G244">
        <v>265.7</v>
      </c>
      <c r="H244">
        <v>58.16</v>
      </c>
      <c r="I244">
        <v>7.52</v>
      </c>
      <c r="J244" t="s">
        <v>32</v>
      </c>
      <c r="K244" t="s">
        <v>19</v>
      </c>
      <c r="L244">
        <v>12.53</v>
      </c>
      <c r="M244" s="5">
        <v>45296</v>
      </c>
      <c r="N244" s="5">
        <v>45432</v>
      </c>
      <c r="O244" s="5" t="str">
        <f>TEXT(Table1[[#This Row],[harvest_date]],"mmmm")</f>
        <v>May</v>
      </c>
      <c r="P244">
        <v>136</v>
      </c>
      <c r="Q244">
        <v>2938.51</v>
      </c>
      <c r="R244" t="s">
        <v>554</v>
      </c>
      <c r="S244" s="5">
        <v>45360</v>
      </c>
      <c r="T244">
        <v>33.510933000000001</v>
      </c>
      <c r="U244">
        <v>84.013938999999993</v>
      </c>
      <c r="V244">
        <v>0.35</v>
      </c>
      <c r="W244" t="s">
        <v>30</v>
      </c>
      <c r="X244">
        <v>136</v>
      </c>
      <c r="Y244" t="s">
        <v>71</v>
      </c>
      <c r="Z244" t="s">
        <v>63</v>
      </c>
    </row>
    <row r="245" spans="1:26" x14ac:dyDescent="0.35">
      <c r="A245" t="s">
        <v>555</v>
      </c>
      <c r="B245" t="s">
        <v>5</v>
      </c>
      <c r="C245" t="s">
        <v>13</v>
      </c>
      <c r="D245">
        <v>13.34</v>
      </c>
      <c r="E245">
        <v>7.37</v>
      </c>
      <c r="F245">
        <v>24.46</v>
      </c>
      <c r="G245">
        <v>63.46</v>
      </c>
      <c r="H245">
        <v>78.55</v>
      </c>
      <c r="I245">
        <v>7.14</v>
      </c>
      <c r="J245" t="s">
        <v>69</v>
      </c>
      <c r="K245" t="s">
        <v>18</v>
      </c>
      <c r="L245">
        <v>16.809999999999999</v>
      </c>
      <c r="M245" s="5">
        <v>45294</v>
      </c>
      <c r="N245" s="5">
        <v>45425</v>
      </c>
      <c r="O245" s="5" t="str">
        <f>TEXT(Table1[[#This Row],[harvest_date]],"mmmm")</f>
        <v>May</v>
      </c>
      <c r="P245">
        <v>131</v>
      </c>
      <c r="Q245">
        <v>5726.36</v>
      </c>
      <c r="R245" t="s">
        <v>556</v>
      </c>
      <c r="S245" s="5">
        <v>45393</v>
      </c>
      <c r="T245">
        <v>17.734266000000002</v>
      </c>
      <c r="U245">
        <v>74.947929999999999</v>
      </c>
      <c r="V245">
        <v>0.47</v>
      </c>
      <c r="W245" t="s">
        <v>30</v>
      </c>
      <c r="X245">
        <v>131</v>
      </c>
      <c r="Y245" t="s">
        <v>67</v>
      </c>
      <c r="Z245" t="s">
        <v>72</v>
      </c>
    </row>
    <row r="246" spans="1:26" x14ac:dyDescent="0.35">
      <c r="A246" t="s">
        <v>557</v>
      </c>
      <c r="B246" t="s">
        <v>4</v>
      </c>
      <c r="C246" t="s">
        <v>12</v>
      </c>
      <c r="D246">
        <v>39.35</v>
      </c>
      <c r="E246">
        <v>5.56</v>
      </c>
      <c r="F246">
        <v>28.27</v>
      </c>
      <c r="G246">
        <v>265.08999999999997</v>
      </c>
      <c r="H246">
        <v>56.26</v>
      </c>
      <c r="I246">
        <v>6.86</v>
      </c>
      <c r="J246" t="s">
        <v>80</v>
      </c>
      <c r="K246" t="s">
        <v>17</v>
      </c>
      <c r="L246">
        <v>25.02</v>
      </c>
      <c r="M246" s="5">
        <v>45369</v>
      </c>
      <c r="N246" s="5">
        <v>45470</v>
      </c>
      <c r="O246" s="5" t="str">
        <f>TEXT(Table1[[#This Row],[harvest_date]],"mmmm")</f>
        <v>June</v>
      </c>
      <c r="P246">
        <v>101</v>
      </c>
      <c r="Q246">
        <v>4363.32</v>
      </c>
      <c r="R246" t="s">
        <v>558</v>
      </c>
      <c r="S246" s="5">
        <v>45427</v>
      </c>
      <c r="T246">
        <v>25.776188000000001</v>
      </c>
      <c r="U246">
        <v>82.717022999999998</v>
      </c>
      <c r="V246">
        <v>0.64</v>
      </c>
      <c r="W246" t="s">
        <v>31</v>
      </c>
      <c r="X246">
        <v>101</v>
      </c>
      <c r="Y246" t="s">
        <v>62</v>
      </c>
      <c r="Z246" t="s">
        <v>72</v>
      </c>
    </row>
    <row r="247" spans="1:26" x14ac:dyDescent="0.35">
      <c r="A247" t="s">
        <v>559</v>
      </c>
      <c r="B247" t="s">
        <v>1</v>
      </c>
      <c r="C247" t="s">
        <v>11</v>
      </c>
      <c r="D247">
        <v>28.89</v>
      </c>
      <c r="E247">
        <v>7.11</v>
      </c>
      <c r="F247">
        <v>23.84</v>
      </c>
      <c r="G247">
        <v>141.44999999999999</v>
      </c>
      <c r="H247">
        <v>52.99</v>
      </c>
      <c r="I247">
        <v>5.82</v>
      </c>
      <c r="J247" t="s">
        <v>69</v>
      </c>
      <c r="K247" t="s">
        <v>17</v>
      </c>
      <c r="L247">
        <v>41.69</v>
      </c>
      <c r="M247" s="5">
        <v>45303</v>
      </c>
      <c r="N247" s="5">
        <v>45411</v>
      </c>
      <c r="O247" s="5" t="str">
        <f>TEXT(Table1[[#This Row],[harvest_date]],"mmmm")</f>
        <v>April</v>
      </c>
      <c r="P247">
        <v>108</v>
      </c>
      <c r="Q247">
        <v>3876.79</v>
      </c>
      <c r="R247" t="s">
        <v>560</v>
      </c>
      <c r="S247" s="5">
        <v>45304</v>
      </c>
      <c r="T247">
        <v>27.194248999999999</v>
      </c>
      <c r="U247">
        <v>79.838633000000002</v>
      </c>
      <c r="V247">
        <v>0.75</v>
      </c>
      <c r="W247" t="s">
        <v>31</v>
      </c>
      <c r="X247">
        <v>108</v>
      </c>
      <c r="Y247" t="s">
        <v>62</v>
      </c>
      <c r="Z247" t="s">
        <v>82</v>
      </c>
    </row>
    <row r="248" spans="1:26" x14ac:dyDescent="0.35">
      <c r="A248" t="s">
        <v>561</v>
      </c>
      <c r="B248" t="s">
        <v>3</v>
      </c>
      <c r="C248" t="s">
        <v>11</v>
      </c>
      <c r="D248">
        <v>37.93</v>
      </c>
      <c r="E248">
        <v>6.69</v>
      </c>
      <c r="F248">
        <v>30.94</v>
      </c>
      <c r="G248">
        <v>187.05</v>
      </c>
      <c r="H248">
        <v>49.43</v>
      </c>
      <c r="I248">
        <v>9.2899999999999991</v>
      </c>
      <c r="J248" t="s">
        <v>32</v>
      </c>
      <c r="K248" t="s">
        <v>19</v>
      </c>
      <c r="L248">
        <v>16.25</v>
      </c>
      <c r="M248" s="5">
        <v>45375</v>
      </c>
      <c r="N248" s="5">
        <v>45506</v>
      </c>
      <c r="O248" s="5" t="str">
        <f>TEXT(Table1[[#This Row],[harvest_date]],"mmmm")</f>
        <v>August</v>
      </c>
      <c r="P248">
        <v>131</v>
      </c>
      <c r="Q248">
        <v>3558.89</v>
      </c>
      <c r="R248" t="s">
        <v>562</v>
      </c>
      <c r="S248" s="5">
        <v>45471</v>
      </c>
      <c r="T248">
        <v>15.514811</v>
      </c>
      <c r="U248">
        <v>71.584194999999994</v>
      </c>
      <c r="V248">
        <v>0.68</v>
      </c>
      <c r="W248" t="s">
        <v>31</v>
      </c>
      <c r="X248">
        <v>131</v>
      </c>
      <c r="Y248" t="s">
        <v>62</v>
      </c>
      <c r="Z248" t="s">
        <v>72</v>
      </c>
    </row>
    <row r="249" spans="1:26" x14ac:dyDescent="0.35">
      <c r="A249" t="s">
        <v>563</v>
      </c>
      <c r="B249" t="s">
        <v>1</v>
      </c>
      <c r="C249" t="s">
        <v>12</v>
      </c>
      <c r="D249">
        <v>38.31</v>
      </c>
      <c r="E249">
        <v>6.33</v>
      </c>
      <c r="F249">
        <v>32.07</v>
      </c>
      <c r="G249">
        <v>95.6</v>
      </c>
      <c r="H249">
        <v>54.48</v>
      </c>
      <c r="I249">
        <v>7.82</v>
      </c>
      <c r="J249" t="s">
        <v>32</v>
      </c>
      <c r="K249" t="s">
        <v>19</v>
      </c>
      <c r="L249">
        <v>36.520000000000003</v>
      </c>
      <c r="M249" s="5">
        <v>45329</v>
      </c>
      <c r="N249" s="5">
        <v>45439</v>
      </c>
      <c r="O249" s="5" t="str">
        <f>TEXT(Table1[[#This Row],[harvest_date]],"mmmm")</f>
        <v>May</v>
      </c>
      <c r="P249">
        <v>110</v>
      </c>
      <c r="Q249">
        <v>2077.58</v>
      </c>
      <c r="R249" t="s">
        <v>564</v>
      </c>
      <c r="S249" s="5">
        <v>45335</v>
      </c>
      <c r="T249">
        <v>34.242905</v>
      </c>
      <c r="U249">
        <v>70.442617999999996</v>
      </c>
      <c r="V249">
        <v>0.88</v>
      </c>
      <c r="W249" t="s">
        <v>31</v>
      </c>
      <c r="X249">
        <v>110</v>
      </c>
      <c r="Y249" t="s">
        <v>71</v>
      </c>
      <c r="Z249" t="s">
        <v>72</v>
      </c>
    </row>
    <row r="250" spans="1:26" x14ac:dyDescent="0.35">
      <c r="A250" t="s">
        <v>565</v>
      </c>
      <c r="B250" t="s">
        <v>1</v>
      </c>
      <c r="C250" t="s">
        <v>10</v>
      </c>
      <c r="D250">
        <v>35.03</v>
      </c>
      <c r="E250">
        <v>6.95</v>
      </c>
      <c r="F250">
        <v>19.66</v>
      </c>
      <c r="G250">
        <v>87.67</v>
      </c>
      <c r="H250">
        <v>64.680000000000007</v>
      </c>
      <c r="I250">
        <v>6.05</v>
      </c>
      <c r="J250" t="s">
        <v>80</v>
      </c>
      <c r="K250" t="s">
        <v>19</v>
      </c>
      <c r="L250">
        <v>49.91</v>
      </c>
      <c r="M250" s="5">
        <v>45345</v>
      </c>
      <c r="N250" s="5">
        <v>45485</v>
      </c>
      <c r="O250" s="5" t="str">
        <f>TEXT(Table1[[#This Row],[harvest_date]],"mmmm")</f>
        <v>July</v>
      </c>
      <c r="P250">
        <v>140</v>
      </c>
      <c r="Q250">
        <v>2126.9499999999998</v>
      </c>
      <c r="R250" t="s">
        <v>566</v>
      </c>
      <c r="S250" s="5">
        <v>45365</v>
      </c>
      <c r="T250">
        <v>31.088657000000001</v>
      </c>
      <c r="U250">
        <v>89.032881000000003</v>
      </c>
      <c r="V250">
        <v>0.33</v>
      </c>
      <c r="W250" t="s">
        <v>33</v>
      </c>
      <c r="X250">
        <v>140</v>
      </c>
      <c r="Y250" t="s">
        <v>71</v>
      </c>
      <c r="Z250" t="s">
        <v>82</v>
      </c>
    </row>
    <row r="251" spans="1:26" x14ac:dyDescent="0.35">
      <c r="A251" t="s">
        <v>567</v>
      </c>
      <c r="B251" t="s">
        <v>3</v>
      </c>
      <c r="C251" t="s">
        <v>12</v>
      </c>
      <c r="D251">
        <v>26.46</v>
      </c>
      <c r="E251">
        <v>5.88</v>
      </c>
      <c r="F251">
        <v>31.83</v>
      </c>
      <c r="G251">
        <v>254.31</v>
      </c>
      <c r="H251">
        <v>81.41</v>
      </c>
      <c r="I251">
        <v>4.7300000000000004</v>
      </c>
      <c r="J251" t="s">
        <v>65</v>
      </c>
      <c r="K251" t="s">
        <v>19</v>
      </c>
      <c r="L251">
        <v>39.71</v>
      </c>
      <c r="M251" s="5">
        <v>45330</v>
      </c>
      <c r="N251" s="5">
        <v>45467</v>
      </c>
      <c r="O251" s="5" t="str">
        <f>TEXT(Table1[[#This Row],[harvest_date]],"mmmm")</f>
        <v>June</v>
      </c>
      <c r="P251">
        <v>137</v>
      </c>
      <c r="Q251">
        <v>5978.14</v>
      </c>
      <c r="R251" t="s">
        <v>568</v>
      </c>
      <c r="S251" s="5">
        <v>45380</v>
      </c>
      <c r="T251">
        <v>21.520866000000002</v>
      </c>
      <c r="U251">
        <v>85.419918999999993</v>
      </c>
      <c r="V251">
        <v>0.61</v>
      </c>
      <c r="W251" t="s">
        <v>30</v>
      </c>
      <c r="X251">
        <v>137</v>
      </c>
      <c r="Y251" t="s">
        <v>67</v>
      </c>
      <c r="Z251" t="s">
        <v>82</v>
      </c>
    </row>
    <row r="252" spans="1:26" x14ac:dyDescent="0.35">
      <c r="A252" t="s">
        <v>569</v>
      </c>
      <c r="B252" t="s">
        <v>5</v>
      </c>
      <c r="C252" t="s">
        <v>11</v>
      </c>
      <c r="D252">
        <v>33.85</v>
      </c>
      <c r="E252">
        <v>6.12</v>
      </c>
      <c r="F252">
        <v>21.46</v>
      </c>
      <c r="G252">
        <v>207.29</v>
      </c>
      <c r="H252">
        <v>42.11</v>
      </c>
      <c r="I252">
        <v>9.6199999999999992</v>
      </c>
      <c r="J252" t="s">
        <v>69</v>
      </c>
      <c r="K252" t="s">
        <v>19</v>
      </c>
      <c r="L252">
        <v>26.66</v>
      </c>
      <c r="M252" s="5">
        <v>45329</v>
      </c>
      <c r="N252" s="5">
        <v>45442</v>
      </c>
      <c r="O252" s="5" t="str">
        <f>TEXT(Table1[[#This Row],[harvest_date]],"mmmm")</f>
        <v>May</v>
      </c>
      <c r="P252">
        <v>113</v>
      </c>
      <c r="Q252">
        <v>5550.08</v>
      </c>
      <c r="R252" t="s">
        <v>570</v>
      </c>
      <c r="S252" s="5">
        <v>45439</v>
      </c>
      <c r="T252">
        <v>26.667369999999998</v>
      </c>
      <c r="U252">
        <v>89.465480999999997</v>
      </c>
      <c r="V252">
        <v>0.44</v>
      </c>
      <c r="W252" t="s">
        <v>33</v>
      </c>
      <c r="X252">
        <v>113</v>
      </c>
      <c r="Y252" t="s">
        <v>67</v>
      </c>
      <c r="Z252" t="s">
        <v>72</v>
      </c>
    </row>
    <row r="253" spans="1:26" x14ac:dyDescent="0.35">
      <c r="A253" t="s">
        <v>571</v>
      </c>
      <c r="B253" t="s">
        <v>1</v>
      </c>
      <c r="C253" t="s">
        <v>13</v>
      </c>
      <c r="D253">
        <v>15.86</v>
      </c>
      <c r="E253">
        <v>6.05</v>
      </c>
      <c r="F253">
        <v>17.39</v>
      </c>
      <c r="G253">
        <v>247.29</v>
      </c>
      <c r="H253">
        <v>40.450000000000003</v>
      </c>
      <c r="I253">
        <v>4.25</v>
      </c>
      <c r="J253" t="s">
        <v>32</v>
      </c>
      <c r="K253" t="s">
        <v>17</v>
      </c>
      <c r="L253">
        <v>31.83</v>
      </c>
      <c r="M253" s="5">
        <v>45347</v>
      </c>
      <c r="N253" s="5">
        <v>45442</v>
      </c>
      <c r="O253" s="5" t="str">
        <f>TEXT(Table1[[#This Row],[harvest_date]],"mmmm")</f>
        <v>May</v>
      </c>
      <c r="P253">
        <v>95</v>
      </c>
      <c r="Q253">
        <v>2994.89</v>
      </c>
      <c r="R253" t="s">
        <v>572</v>
      </c>
      <c r="S253" s="5">
        <v>45410</v>
      </c>
      <c r="T253">
        <v>12.285038999999999</v>
      </c>
      <c r="U253">
        <v>82.372896999999995</v>
      </c>
      <c r="V253">
        <v>0.86</v>
      </c>
      <c r="W253" t="s">
        <v>32</v>
      </c>
      <c r="X253">
        <v>95</v>
      </c>
      <c r="Y253" t="s">
        <v>62</v>
      </c>
      <c r="Z253" t="s">
        <v>72</v>
      </c>
    </row>
    <row r="254" spans="1:26" x14ac:dyDescent="0.35">
      <c r="A254" t="s">
        <v>573</v>
      </c>
      <c r="B254" t="s">
        <v>3</v>
      </c>
      <c r="C254" t="s">
        <v>14</v>
      </c>
      <c r="D254">
        <v>32.56</v>
      </c>
      <c r="E254">
        <v>6.9</v>
      </c>
      <c r="F254">
        <v>30.83</v>
      </c>
      <c r="G254">
        <v>81.459999999999994</v>
      </c>
      <c r="H254">
        <v>51.63</v>
      </c>
      <c r="I254">
        <v>9.89</v>
      </c>
      <c r="J254" t="s">
        <v>80</v>
      </c>
      <c r="K254" t="s">
        <v>19</v>
      </c>
      <c r="L254">
        <v>37.99</v>
      </c>
      <c r="M254" s="5">
        <v>45314</v>
      </c>
      <c r="N254" s="5">
        <v>45428</v>
      </c>
      <c r="O254" s="5" t="str">
        <f>TEXT(Table1[[#This Row],[harvest_date]],"mmmm")</f>
        <v>May</v>
      </c>
      <c r="P254">
        <v>114</v>
      </c>
      <c r="Q254">
        <v>3432.67</v>
      </c>
      <c r="R254" t="s">
        <v>574</v>
      </c>
      <c r="S254" s="5">
        <v>45331</v>
      </c>
      <c r="T254">
        <v>16.267406000000001</v>
      </c>
      <c r="U254">
        <v>70.789771000000002</v>
      </c>
      <c r="V254">
        <v>0.72</v>
      </c>
      <c r="W254" t="s">
        <v>31</v>
      </c>
      <c r="X254">
        <v>114</v>
      </c>
      <c r="Y254" t="s">
        <v>62</v>
      </c>
      <c r="Z254" t="s">
        <v>72</v>
      </c>
    </row>
    <row r="255" spans="1:26" x14ac:dyDescent="0.35">
      <c r="A255" t="s">
        <v>575</v>
      </c>
      <c r="B255" t="s">
        <v>2</v>
      </c>
      <c r="C255" t="s">
        <v>11</v>
      </c>
      <c r="D255">
        <v>16.64</v>
      </c>
      <c r="E255">
        <v>5.87</v>
      </c>
      <c r="F255">
        <v>21.95</v>
      </c>
      <c r="G255">
        <v>233.1</v>
      </c>
      <c r="H255">
        <v>53.77</v>
      </c>
      <c r="I255">
        <v>8.99</v>
      </c>
      <c r="J255" t="s">
        <v>65</v>
      </c>
      <c r="K255" t="s">
        <v>18</v>
      </c>
      <c r="L255">
        <v>28.9</v>
      </c>
      <c r="M255" s="5">
        <v>45332</v>
      </c>
      <c r="N255" s="5">
        <v>45474</v>
      </c>
      <c r="O255" s="5" t="str">
        <f>TEXT(Table1[[#This Row],[harvest_date]],"mmmm")</f>
        <v>July</v>
      </c>
      <c r="P255">
        <v>142</v>
      </c>
      <c r="Q255">
        <v>3053.4</v>
      </c>
      <c r="R255" t="s">
        <v>576</v>
      </c>
      <c r="S255" s="5">
        <v>45425</v>
      </c>
      <c r="T255">
        <v>21.351973999999998</v>
      </c>
      <c r="U255">
        <v>85.518358000000006</v>
      </c>
      <c r="V255">
        <v>0.6</v>
      </c>
      <c r="W255" t="s">
        <v>30</v>
      </c>
      <c r="X255">
        <v>142</v>
      </c>
      <c r="Y255" t="s">
        <v>62</v>
      </c>
      <c r="Z255" t="s">
        <v>72</v>
      </c>
    </row>
    <row r="256" spans="1:26" x14ac:dyDescent="0.35">
      <c r="A256" t="s">
        <v>577</v>
      </c>
      <c r="B256" t="s">
        <v>3</v>
      </c>
      <c r="C256" t="s">
        <v>12</v>
      </c>
      <c r="D256">
        <v>39.99</v>
      </c>
      <c r="E256">
        <v>7.05</v>
      </c>
      <c r="F256">
        <v>19.78</v>
      </c>
      <c r="G256">
        <v>230.25</v>
      </c>
      <c r="H256">
        <v>72.91</v>
      </c>
      <c r="I256">
        <v>7.23</v>
      </c>
      <c r="J256" t="s">
        <v>32</v>
      </c>
      <c r="K256" t="s">
        <v>18</v>
      </c>
      <c r="L256">
        <v>28.58</v>
      </c>
      <c r="M256" s="5">
        <v>45347</v>
      </c>
      <c r="N256" s="5">
        <v>45472</v>
      </c>
      <c r="O256" s="5" t="str">
        <f>TEXT(Table1[[#This Row],[harvest_date]],"mmmm")</f>
        <v>June</v>
      </c>
      <c r="P256">
        <v>125</v>
      </c>
      <c r="Q256">
        <v>2616.5300000000002</v>
      </c>
      <c r="R256" t="s">
        <v>578</v>
      </c>
      <c r="S256" s="5">
        <v>45383</v>
      </c>
      <c r="T256">
        <v>18.065000999999999</v>
      </c>
      <c r="U256">
        <v>82.818078999999997</v>
      </c>
      <c r="V256">
        <v>0.37</v>
      </c>
      <c r="W256" t="s">
        <v>32</v>
      </c>
      <c r="X256">
        <v>125</v>
      </c>
      <c r="Y256" t="s">
        <v>71</v>
      </c>
      <c r="Z256" t="s">
        <v>72</v>
      </c>
    </row>
    <row r="257" spans="1:26" x14ac:dyDescent="0.35">
      <c r="A257" t="s">
        <v>579</v>
      </c>
      <c r="B257" t="s">
        <v>3</v>
      </c>
      <c r="C257" t="s">
        <v>10</v>
      </c>
      <c r="D257">
        <v>16.25</v>
      </c>
      <c r="E257">
        <v>5.56</v>
      </c>
      <c r="F257">
        <v>17.14</v>
      </c>
      <c r="G257">
        <v>97.9</v>
      </c>
      <c r="H257">
        <v>41.59</v>
      </c>
      <c r="I257">
        <v>7.85</v>
      </c>
      <c r="J257" t="s">
        <v>32</v>
      </c>
      <c r="K257" t="s">
        <v>17</v>
      </c>
      <c r="L257">
        <v>27.05</v>
      </c>
      <c r="M257" s="5">
        <v>45374</v>
      </c>
      <c r="N257" s="5">
        <v>45501</v>
      </c>
      <c r="O257" s="5" t="str">
        <f>TEXT(Table1[[#This Row],[harvest_date]],"mmmm")</f>
        <v>July</v>
      </c>
      <c r="P257">
        <v>127</v>
      </c>
      <c r="Q257">
        <v>3023.75</v>
      </c>
      <c r="R257" t="s">
        <v>580</v>
      </c>
      <c r="S257" s="5">
        <v>45467</v>
      </c>
      <c r="T257">
        <v>15.51807</v>
      </c>
      <c r="U257">
        <v>84.356904</v>
      </c>
      <c r="V257">
        <v>0.31</v>
      </c>
      <c r="W257" t="s">
        <v>30</v>
      </c>
      <c r="X257">
        <v>127</v>
      </c>
      <c r="Y257" t="s">
        <v>62</v>
      </c>
      <c r="Z257" t="s">
        <v>72</v>
      </c>
    </row>
    <row r="258" spans="1:26" x14ac:dyDescent="0.35">
      <c r="A258" t="s">
        <v>581</v>
      </c>
      <c r="B258" t="s">
        <v>5</v>
      </c>
      <c r="C258" t="s">
        <v>13</v>
      </c>
      <c r="D258">
        <v>26.38</v>
      </c>
      <c r="E258">
        <v>6.78</v>
      </c>
      <c r="F258">
        <v>22.22</v>
      </c>
      <c r="G258">
        <v>235.87</v>
      </c>
      <c r="H258">
        <v>84.52</v>
      </c>
      <c r="I258">
        <v>8.93</v>
      </c>
      <c r="J258" t="s">
        <v>69</v>
      </c>
      <c r="K258" t="s">
        <v>17</v>
      </c>
      <c r="L258">
        <v>16.96</v>
      </c>
      <c r="M258" s="5">
        <v>45315</v>
      </c>
      <c r="N258" s="5">
        <v>45409</v>
      </c>
      <c r="O258" s="5" t="str">
        <f>TEXT(Table1[[#This Row],[harvest_date]],"mmmm")</f>
        <v>April</v>
      </c>
      <c r="P258">
        <v>94</v>
      </c>
      <c r="Q258">
        <v>5337.83</v>
      </c>
      <c r="R258" t="s">
        <v>582</v>
      </c>
      <c r="S258" s="5">
        <v>45324</v>
      </c>
      <c r="T258">
        <v>33.615087000000003</v>
      </c>
      <c r="U258">
        <v>89.211735000000004</v>
      </c>
      <c r="V258">
        <v>0.36</v>
      </c>
      <c r="W258" t="s">
        <v>30</v>
      </c>
      <c r="X258">
        <v>94</v>
      </c>
      <c r="Y258" t="s">
        <v>67</v>
      </c>
      <c r="Z258" t="s">
        <v>72</v>
      </c>
    </row>
    <row r="259" spans="1:26" x14ac:dyDescent="0.35">
      <c r="A259" t="s">
        <v>583</v>
      </c>
      <c r="B259" t="s">
        <v>2</v>
      </c>
      <c r="C259" t="s">
        <v>11</v>
      </c>
      <c r="D259">
        <v>16.63</v>
      </c>
      <c r="E259">
        <v>6.55</v>
      </c>
      <c r="F259">
        <v>19.98</v>
      </c>
      <c r="G259">
        <v>206.33</v>
      </c>
      <c r="H259">
        <v>48.94</v>
      </c>
      <c r="I259">
        <v>8.5</v>
      </c>
      <c r="J259" t="s">
        <v>32</v>
      </c>
      <c r="K259" t="s">
        <v>17</v>
      </c>
      <c r="L259">
        <v>9.75</v>
      </c>
      <c r="M259" s="5">
        <v>45370</v>
      </c>
      <c r="N259" s="5">
        <v>45482</v>
      </c>
      <c r="O259" s="5" t="str">
        <f>TEXT(Table1[[#This Row],[harvest_date]],"mmmm")</f>
        <v>July</v>
      </c>
      <c r="P259">
        <v>112</v>
      </c>
      <c r="Q259">
        <v>4697.97</v>
      </c>
      <c r="R259" t="s">
        <v>584</v>
      </c>
      <c r="S259" s="5">
        <v>45459</v>
      </c>
      <c r="T259">
        <v>26.631059</v>
      </c>
      <c r="U259">
        <v>87.656480000000002</v>
      </c>
      <c r="V259">
        <v>0.4</v>
      </c>
      <c r="W259" t="s">
        <v>30</v>
      </c>
      <c r="X259">
        <v>112</v>
      </c>
      <c r="Y259" t="s">
        <v>62</v>
      </c>
      <c r="Z259" t="s">
        <v>63</v>
      </c>
    </row>
    <row r="260" spans="1:26" x14ac:dyDescent="0.35">
      <c r="A260" t="s">
        <v>585</v>
      </c>
      <c r="B260" t="s">
        <v>2</v>
      </c>
      <c r="C260" t="s">
        <v>11</v>
      </c>
      <c r="D260">
        <v>27.66</v>
      </c>
      <c r="E260">
        <v>6.82</v>
      </c>
      <c r="F260">
        <v>25.68</v>
      </c>
      <c r="G260">
        <v>199.98</v>
      </c>
      <c r="H260">
        <v>86.68</v>
      </c>
      <c r="I260">
        <v>9.41</v>
      </c>
      <c r="J260" t="s">
        <v>80</v>
      </c>
      <c r="K260" t="s">
        <v>19</v>
      </c>
      <c r="L260">
        <v>23.56</v>
      </c>
      <c r="M260" s="5">
        <v>45365</v>
      </c>
      <c r="N260" s="5">
        <v>45507</v>
      </c>
      <c r="O260" s="5" t="str">
        <f>TEXT(Table1[[#This Row],[harvest_date]],"mmmm")</f>
        <v>August</v>
      </c>
      <c r="P260">
        <v>142</v>
      </c>
      <c r="Q260">
        <v>4903.47</v>
      </c>
      <c r="R260" t="s">
        <v>586</v>
      </c>
      <c r="S260" s="5">
        <v>45426</v>
      </c>
      <c r="T260">
        <v>24.078617999999999</v>
      </c>
      <c r="U260">
        <v>74.278563000000005</v>
      </c>
      <c r="V260">
        <v>0.76</v>
      </c>
      <c r="W260" t="s">
        <v>31</v>
      </c>
      <c r="X260">
        <v>142</v>
      </c>
      <c r="Y260" t="s">
        <v>62</v>
      </c>
      <c r="Z260" t="s">
        <v>72</v>
      </c>
    </row>
    <row r="261" spans="1:26" x14ac:dyDescent="0.35">
      <c r="A261" t="s">
        <v>587</v>
      </c>
      <c r="B261" t="s">
        <v>1</v>
      </c>
      <c r="C261" t="s">
        <v>11</v>
      </c>
      <c r="D261">
        <v>25.66</v>
      </c>
      <c r="E261">
        <v>6.29</v>
      </c>
      <c r="F261">
        <v>29.53</v>
      </c>
      <c r="G261">
        <v>295.74</v>
      </c>
      <c r="H261">
        <v>69.790000000000006</v>
      </c>
      <c r="I261">
        <v>7.11</v>
      </c>
      <c r="J261" t="s">
        <v>80</v>
      </c>
      <c r="K261" t="s">
        <v>18</v>
      </c>
      <c r="L261">
        <v>18.52</v>
      </c>
      <c r="M261" s="5">
        <v>45298</v>
      </c>
      <c r="N261" s="5">
        <v>45442</v>
      </c>
      <c r="O261" s="5" t="str">
        <f>TEXT(Table1[[#This Row],[harvest_date]],"mmmm")</f>
        <v>May</v>
      </c>
      <c r="P261">
        <v>144</v>
      </c>
      <c r="Q261">
        <v>3259.62</v>
      </c>
      <c r="R261" t="s">
        <v>588</v>
      </c>
      <c r="S261" s="5">
        <v>45368</v>
      </c>
      <c r="T261">
        <v>32.977801999999997</v>
      </c>
      <c r="U261">
        <v>80.225430000000003</v>
      </c>
      <c r="V261">
        <v>0.64</v>
      </c>
      <c r="W261" t="s">
        <v>30</v>
      </c>
      <c r="X261">
        <v>144</v>
      </c>
      <c r="Y261" t="s">
        <v>62</v>
      </c>
      <c r="Z261" t="s">
        <v>72</v>
      </c>
    </row>
    <row r="262" spans="1:26" x14ac:dyDescent="0.35">
      <c r="A262" t="s">
        <v>589</v>
      </c>
      <c r="B262" t="s">
        <v>3</v>
      </c>
      <c r="C262" t="s">
        <v>13</v>
      </c>
      <c r="D262">
        <v>26.11</v>
      </c>
      <c r="E262">
        <v>5.81</v>
      </c>
      <c r="F262">
        <v>20.3</v>
      </c>
      <c r="G262">
        <v>272.41000000000003</v>
      </c>
      <c r="H262">
        <v>52.49</v>
      </c>
      <c r="I262">
        <v>5.54</v>
      </c>
      <c r="J262" t="s">
        <v>80</v>
      </c>
      <c r="K262" t="s">
        <v>18</v>
      </c>
      <c r="L262">
        <v>30.67</v>
      </c>
      <c r="M262" s="5">
        <v>45358</v>
      </c>
      <c r="N262" s="5">
        <v>45494</v>
      </c>
      <c r="O262" s="5" t="str">
        <f>TEXT(Table1[[#This Row],[harvest_date]],"mmmm")</f>
        <v>July</v>
      </c>
      <c r="P262">
        <v>136</v>
      </c>
      <c r="Q262">
        <v>2308.81</v>
      </c>
      <c r="R262" t="s">
        <v>590</v>
      </c>
      <c r="S262" s="5">
        <v>45441</v>
      </c>
      <c r="T262">
        <v>29.822604999999999</v>
      </c>
      <c r="U262">
        <v>73.45805</v>
      </c>
      <c r="V262">
        <v>0.8</v>
      </c>
      <c r="W262" t="s">
        <v>32</v>
      </c>
      <c r="X262">
        <v>136</v>
      </c>
      <c r="Y262" t="s">
        <v>71</v>
      </c>
      <c r="Z262" t="s">
        <v>72</v>
      </c>
    </row>
    <row r="263" spans="1:26" x14ac:dyDescent="0.35">
      <c r="A263" t="s">
        <v>591</v>
      </c>
      <c r="B263" t="s">
        <v>2</v>
      </c>
      <c r="C263" t="s">
        <v>14</v>
      </c>
      <c r="D263">
        <v>11.31</v>
      </c>
      <c r="E263">
        <v>7.12</v>
      </c>
      <c r="F263">
        <v>22.63</v>
      </c>
      <c r="G263">
        <v>245.03</v>
      </c>
      <c r="H263">
        <v>86.09</v>
      </c>
      <c r="I263">
        <v>6.01</v>
      </c>
      <c r="J263" t="s">
        <v>32</v>
      </c>
      <c r="K263" t="s">
        <v>19</v>
      </c>
      <c r="L263">
        <v>46.86</v>
      </c>
      <c r="M263" s="5">
        <v>45319</v>
      </c>
      <c r="N263" s="5">
        <v>45458</v>
      </c>
      <c r="O263" s="5" t="str">
        <f>TEXT(Table1[[#This Row],[harvest_date]],"mmmm")</f>
        <v>June</v>
      </c>
      <c r="P263">
        <v>139</v>
      </c>
      <c r="Q263">
        <v>2906.87</v>
      </c>
      <c r="R263" t="s">
        <v>592</v>
      </c>
      <c r="S263" s="5">
        <v>45321</v>
      </c>
      <c r="T263">
        <v>25.847178</v>
      </c>
      <c r="U263">
        <v>82.643872000000002</v>
      </c>
      <c r="V263">
        <v>0.33</v>
      </c>
      <c r="W263" t="s">
        <v>32</v>
      </c>
      <c r="X263">
        <v>139</v>
      </c>
      <c r="Y263" t="s">
        <v>71</v>
      </c>
      <c r="Z263" t="s">
        <v>82</v>
      </c>
    </row>
    <row r="264" spans="1:26" x14ac:dyDescent="0.35">
      <c r="A264" t="s">
        <v>593</v>
      </c>
      <c r="B264" t="s">
        <v>1</v>
      </c>
      <c r="C264" t="s">
        <v>12</v>
      </c>
      <c r="D264">
        <v>29.77</v>
      </c>
      <c r="E264">
        <v>6.15</v>
      </c>
      <c r="F264">
        <v>28.96</v>
      </c>
      <c r="G264">
        <v>88.3</v>
      </c>
      <c r="H264">
        <v>73.680000000000007</v>
      </c>
      <c r="I264">
        <v>9.98</v>
      </c>
      <c r="J264" t="s">
        <v>32</v>
      </c>
      <c r="K264" t="s">
        <v>17</v>
      </c>
      <c r="L264">
        <v>30.89</v>
      </c>
      <c r="M264" s="5">
        <v>45299</v>
      </c>
      <c r="N264" s="5">
        <v>45416</v>
      </c>
      <c r="O264" s="5" t="str">
        <f>TEXT(Table1[[#This Row],[harvest_date]],"mmmm")</f>
        <v>May</v>
      </c>
      <c r="P264">
        <v>117</v>
      </c>
      <c r="Q264">
        <v>3159.13</v>
      </c>
      <c r="R264" t="s">
        <v>594</v>
      </c>
      <c r="S264" s="5">
        <v>45349</v>
      </c>
      <c r="T264">
        <v>13.70031</v>
      </c>
      <c r="U264">
        <v>76.723364000000004</v>
      </c>
      <c r="V264">
        <v>0.59</v>
      </c>
      <c r="W264" t="s">
        <v>32</v>
      </c>
      <c r="X264">
        <v>117</v>
      </c>
      <c r="Y264" t="s">
        <v>62</v>
      </c>
      <c r="Z264" t="s">
        <v>72</v>
      </c>
    </row>
    <row r="265" spans="1:26" x14ac:dyDescent="0.35">
      <c r="A265" t="s">
        <v>595</v>
      </c>
      <c r="B265" t="s">
        <v>2</v>
      </c>
      <c r="C265" t="s">
        <v>11</v>
      </c>
      <c r="D265">
        <v>19.190000000000001</v>
      </c>
      <c r="E265">
        <v>6.3</v>
      </c>
      <c r="F265">
        <v>23.69</v>
      </c>
      <c r="G265">
        <v>224.47</v>
      </c>
      <c r="H265">
        <v>78.099999999999994</v>
      </c>
      <c r="I265">
        <v>6.89</v>
      </c>
      <c r="J265" t="s">
        <v>65</v>
      </c>
      <c r="K265" t="s">
        <v>19</v>
      </c>
      <c r="L265">
        <v>22.79</v>
      </c>
      <c r="M265" s="5">
        <v>45358</v>
      </c>
      <c r="N265" s="5">
        <v>45483</v>
      </c>
      <c r="O265" s="5" t="str">
        <f>TEXT(Table1[[#This Row],[harvest_date]],"mmmm")</f>
        <v>July</v>
      </c>
      <c r="P265">
        <v>125</v>
      </c>
      <c r="Q265">
        <v>4463.99</v>
      </c>
      <c r="R265" t="s">
        <v>596</v>
      </c>
      <c r="S265" s="5">
        <v>45452</v>
      </c>
      <c r="T265">
        <v>23.106195</v>
      </c>
      <c r="U265">
        <v>74.846301999999994</v>
      </c>
      <c r="V265">
        <v>0.46</v>
      </c>
      <c r="W265" t="s">
        <v>33</v>
      </c>
      <c r="X265">
        <v>125</v>
      </c>
      <c r="Y265" t="s">
        <v>62</v>
      </c>
      <c r="Z265" t="s">
        <v>72</v>
      </c>
    </row>
    <row r="266" spans="1:26" x14ac:dyDescent="0.35">
      <c r="A266" t="s">
        <v>597</v>
      </c>
      <c r="B266" t="s">
        <v>1</v>
      </c>
      <c r="C266" t="s">
        <v>12</v>
      </c>
      <c r="D266">
        <v>13.14</v>
      </c>
      <c r="E266">
        <v>6.84</v>
      </c>
      <c r="F266">
        <v>23.47</v>
      </c>
      <c r="G266">
        <v>137.08000000000001</v>
      </c>
      <c r="H266">
        <v>56.04</v>
      </c>
      <c r="I266">
        <v>7.56</v>
      </c>
      <c r="J266" t="s">
        <v>69</v>
      </c>
      <c r="K266" t="s">
        <v>19</v>
      </c>
      <c r="L266">
        <v>12.62</v>
      </c>
      <c r="M266" s="5">
        <v>45342</v>
      </c>
      <c r="N266" s="5">
        <v>45484</v>
      </c>
      <c r="O266" s="5" t="str">
        <f>TEXT(Table1[[#This Row],[harvest_date]],"mmmm")</f>
        <v>July</v>
      </c>
      <c r="P266">
        <v>142</v>
      </c>
      <c r="Q266">
        <v>5960.64</v>
      </c>
      <c r="R266" t="s">
        <v>598</v>
      </c>
      <c r="S266" s="5">
        <v>45455</v>
      </c>
      <c r="T266">
        <v>25.579554000000002</v>
      </c>
      <c r="U266">
        <v>78.809268000000003</v>
      </c>
      <c r="V266">
        <v>0.85</v>
      </c>
      <c r="W266" t="s">
        <v>30</v>
      </c>
      <c r="X266">
        <v>142</v>
      </c>
      <c r="Y266" t="s">
        <v>67</v>
      </c>
      <c r="Z266" t="s">
        <v>63</v>
      </c>
    </row>
    <row r="267" spans="1:26" x14ac:dyDescent="0.35">
      <c r="A267" t="s">
        <v>599</v>
      </c>
      <c r="B267" t="s">
        <v>4</v>
      </c>
      <c r="C267" t="s">
        <v>14</v>
      </c>
      <c r="D267">
        <v>15.46</v>
      </c>
      <c r="E267">
        <v>6.96</v>
      </c>
      <c r="F267">
        <v>16.72</v>
      </c>
      <c r="G267">
        <v>234.9</v>
      </c>
      <c r="H267">
        <v>52.15</v>
      </c>
      <c r="I267">
        <v>7.73</v>
      </c>
      <c r="J267" t="s">
        <v>65</v>
      </c>
      <c r="K267" t="s">
        <v>19</v>
      </c>
      <c r="L267">
        <v>5.62</v>
      </c>
      <c r="M267" s="5">
        <v>45377</v>
      </c>
      <c r="N267" s="5">
        <v>45474</v>
      </c>
      <c r="O267" s="5" t="str">
        <f>TEXT(Table1[[#This Row],[harvest_date]],"mmmm")</f>
        <v>July</v>
      </c>
      <c r="P267">
        <v>97</v>
      </c>
      <c r="Q267">
        <v>3220.47</v>
      </c>
      <c r="R267" t="s">
        <v>600</v>
      </c>
      <c r="S267" s="5">
        <v>45437</v>
      </c>
      <c r="T267">
        <v>10.568702999999999</v>
      </c>
      <c r="U267">
        <v>74.180190999999994</v>
      </c>
      <c r="V267">
        <v>0.62</v>
      </c>
      <c r="W267" t="s">
        <v>30</v>
      </c>
      <c r="X267">
        <v>97</v>
      </c>
      <c r="Y267" t="s">
        <v>62</v>
      </c>
      <c r="Z267" t="s">
        <v>63</v>
      </c>
    </row>
    <row r="268" spans="1:26" x14ac:dyDescent="0.35">
      <c r="A268" t="s">
        <v>601</v>
      </c>
      <c r="B268" t="s">
        <v>2</v>
      </c>
      <c r="C268" t="s">
        <v>12</v>
      </c>
      <c r="D268">
        <v>36.26</v>
      </c>
      <c r="E268">
        <v>6.6</v>
      </c>
      <c r="F268">
        <v>27.46</v>
      </c>
      <c r="G268">
        <v>298.08</v>
      </c>
      <c r="H268">
        <v>74.75</v>
      </c>
      <c r="I268">
        <v>8.01</v>
      </c>
      <c r="J268" t="s">
        <v>32</v>
      </c>
      <c r="K268" t="s">
        <v>17</v>
      </c>
      <c r="L268">
        <v>45.77</v>
      </c>
      <c r="M268" s="5">
        <v>45353</v>
      </c>
      <c r="N268" s="5">
        <v>45459</v>
      </c>
      <c r="O268" s="5" t="str">
        <f>TEXT(Table1[[#This Row],[harvest_date]],"mmmm")</f>
        <v>June</v>
      </c>
      <c r="P268">
        <v>106</v>
      </c>
      <c r="Q268">
        <v>2681.28</v>
      </c>
      <c r="R268" t="s">
        <v>602</v>
      </c>
      <c r="S268" s="5">
        <v>45389</v>
      </c>
      <c r="T268">
        <v>15.017401</v>
      </c>
      <c r="U268">
        <v>83.930533999999994</v>
      </c>
      <c r="V268">
        <v>0.46</v>
      </c>
      <c r="W268" t="s">
        <v>33</v>
      </c>
      <c r="X268">
        <v>106</v>
      </c>
      <c r="Y268" t="s">
        <v>71</v>
      </c>
      <c r="Z268" t="s">
        <v>82</v>
      </c>
    </row>
    <row r="269" spans="1:26" x14ac:dyDescent="0.35">
      <c r="A269" t="s">
        <v>603</v>
      </c>
      <c r="B269" t="s">
        <v>3</v>
      </c>
      <c r="C269" t="s">
        <v>13</v>
      </c>
      <c r="D269">
        <v>23.6</v>
      </c>
      <c r="E269">
        <v>6.04</v>
      </c>
      <c r="F269">
        <v>32.04</v>
      </c>
      <c r="G269">
        <v>215.03</v>
      </c>
      <c r="H269">
        <v>83.21</v>
      </c>
      <c r="I269">
        <v>4.1100000000000003</v>
      </c>
      <c r="J269" t="s">
        <v>32</v>
      </c>
      <c r="K269" t="s">
        <v>18</v>
      </c>
      <c r="L269">
        <v>49.09</v>
      </c>
      <c r="M269" s="5">
        <v>45374</v>
      </c>
      <c r="N269" s="5">
        <v>45470</v>
      </c>
      <c r="O269" s="5" t="str">
        <f>TEXT(Table1[[#This Row],[harvest_date]],"mmmm")</f>
        <v>June</v>
      </c>
      <c r="P269">
        <v>96</v>
      </c>
      <c r="Q269">
        <v>5615.49</v>
      </c>
      <c r="R269" t="s">
        <v>604</v>
      </c>
      <c r="S269" s="5">
        <v>45436</v>
      </c>
      <c r="T269">
        <v>31.669319000000002</v>
      </c>
      <c r="U269">
        <v>80.631213000000002</v>
      </c>
      <c r="V269">
        <v>0.41</v>
      </c>
      <c r="W269" t="s">
        <v>33</v>
      </c>
      <c r="X269">
        <v>96</v>
      </c>
      <c r="Y269" t="s">
        <v>67</v>
      </c>
      <c r="Z269" t="s">
        <v>82</v>
      </c>
    </row>
    <row r="270" spans="1:26" x14ac:dyDescent="0.35">
      <c r="A270" t="s">
        <v>605</v>
      </c>
      <c r="B270" t="s">
        <v>2</v>
      </c>
      <c r="C270" t="s">
        <v>13</v>
      </c>
      <c r="D270">
        <v>11.39</v>
      </c>
      <c r="E270">
        <v>7.34</v>
      </c>
      <c r="F270">
        <v>21.1</v>
      </c>
      <c r="G270">
        <v>172.48</v>
      </c>
      <c r="H270">
        <v>77.22</v>
      </c>
      <c r="I270">
        <v>4.1100000000000003</v>
      </c>
      <c r="J270" t="s">
        <v>80</v>
      </c>
      <c r="K270" t="s">
        <v>19</v>
      </c>
      <c r="L270">
        <v>33.14</v>
      </c>
      <c r="M270" s="5">
        <v>45308</v>
      </c>
      <c r="N270" s="5">
        <v>45415</v>
      </c>
      <c r="O270" s="5" t="str">
        <f>TEXT(Table1[[#This Row],[harvest_date]],"mmmm")</f>
        <v>May</v>
      </c>
      <c r="P270">
        <v>107</v>
      </c>
      <c r="Q270">
        <v>5247.57</v>
      </c>
      <c r="R270" t="s">
        <v>606</v>
      </c>
      <c r="S270" s="5">
        <v>45388</v>
      </c>
      <c r="T270">
        <v>16.441984000000001</v>
      </c>
      <c r="U270">
        <v>77.743412000000006</v>
      </c>
      <c r="V270">
        <v>0.9</v>
      </c>
      <c r="W270" t="s">
        <v>32</v>
      </c>
      <c r="X270">
        <v>107</v>
      </c>
      <c r="Y270" t="s">
        <v>67</v>
      </c>
      <c r="Z270" t="s">
        <v>72</v>
      </c>
    </row>
    <row r="271" spans="1:26" x14ac:dyDescent="0.35">
      <c r="A271" t="s">
        <v>607</v>
      </c>
      <c r="B271" t="s">
        <v>2</v>
      </c>
      <c r="C271" t="s">
        <v>14</v>
      </c>
      <c r="D271">
        <v>17.899999999999999</v>
      </c>
      <c r="E271">
        <v>6.18</v>
      </c>
      <c r="F271">
        <v>22.86</v>
      </c>
      <c r="G271">
        <v>84.32</v>
      </c>
      <c r="H271">
        <v>76.489999999999995</v>
      </c>
      <c r="I271">
        <v>7.12</v>
      </c>
      <c r="J271" t="s">
        <v>65</v>
      </c>
      <c r="K271" t="s">
        <v>19</v>
      </c>
      <c r="L271">
        <v>15.82</v>
      </c>
      <c r="M271" s="5">
        <v>45305</v>
      </c>
      <c r="N271" s="5">
        <v>45414</v>
      </c>
      <c r="O271" s="5" t="str">
        <f>TEXT(Table1[[#This Row],[harvest_date]],"mmmm")</f>
        <v>May</v>
      </c>
      <c r="P271">
        <v>109</v>
      </c>
      <c r="Q271">
        <v>5638.94</v>
      </c>
      <c r="R271" t="s">
        <v>608</v>
      </c>
      <c r="S271" s="5">
        <v>45347</v>
      </c>
      <c r="T271">
        <v>21.229230000000001</v>
      </c>
      <c r="U271">
        <v>72.635442999999995</v>
      </c>
      <c r="V271">
        <v>0.69</v>
      </c>
      <c r="W271" t="s">
        <v>30</v>
      </c>
      <c r="X271">
        <v>109</v>
      </c>
      <c r="Y271" t="s">
        <v>67</v>
      </c>
      <c r="Z271" t="s">
        <v>72</v>
      </c>
    </row>
    <row r="272" spans="1:26" x14ac:dyDescent="0.35">
      <c r="A272" t="s">
        <v>609</v>
      </c>
      <c r="B272" t="s">
        <v>4</v>
      </c>
      <c r="C272" t="s">
        <v>14</v>
      </c>
      <c r="D272">
        <v>34.1</v>
      </c>
      <c r="E272">
        <v>7.3</v>
      </c>
      <c r="F272">
        <v>33.19</v>
      </c>
      <c r="G272">
        <v>157.52000000000001</v>
      </c>
      <c r="H272">
        <v>85.45</v>
      </c>
      <c r="I272">
        <v>8.6199999999999992</v>
      </c>
      <c r="J272" t="s">
        <v>65</v>
      </c>
      <c r="K272" t="s">
        <v>19</v>
      </c>
      <c r="L272">
        <v>8.0500000000000007</v>
      </c>
      <c r="M272" s="5">
        <v>45375</v>
      </c>
      <c r="N272" s="5">
        <v>45472</v>
      </c>
      <c r="O272" s="5" t="str">
        <f>TEXT(Table1[[#This Row],[harvest_date]],"mmmm")</f>
        <v>June</v>
      </c>
      <c r="P272">
        <v>97</v>
      </c>
      <c r="Q272">
        <v>2736.54</v>
      </c>
      <c r="R272" t="s">
        <v>610</v>
      </c>
      <c r="S272" s="5">
        <v>45393</v>
      </c>
      <c r="T272">
        <v>28.176988000000001</v>
      </c>
      <c r="U272">
        <v>85.308700000000002</v>
      </c>
      <c r="V272">
        <v>0.83</v>
      </c>
      <c r="W272" t="s">
        <v>33</v>
      </c>
      <c r="X272">
        <v>97</v>
      </c>
      <c r="Y272" t="s">
        <v>71</v>
      </c>
      <c r="Z272" t="s">
        <v>63</v>
      </c>
    </row>
    <row r="273" spans="1:26" x14ac:dyDescent="0.35">
      <c r="A273" t="s">
        <v>611</v>
      </c>
      <c r="B273" t="s">
        <v>5</v>
      </c>
      <c r="C273" t="s">
        <v>14</v>
      </c>
      <c r="D273">
        <v>25.51</v>
      </c>
      <c r="E273">
        <v>7.37</v>
      </c>
      <c r="F273">
        <v>32.880000000000003</v>
      </c>
      <c r="G273">
        <v>283.31</v>
      </c>
      <c r="H273">
        <v>53.69</v>
      </c>
      <c r="I273">
        <v>8.67</v>
      </c>
      <c r="J273" t="s">
        <v>69</v>
      </c>
      <c r="K273" t="s">
        <v>18</v>
      </c>
      <c r="L273">
        <v>13.31</v>
      </c>
      <c r="M273" s="5">
        <v>45371</v>
      </c>
      <c r="N273" s="5">
        <v>45478</v>
      </c>
      <c r="O273" s="5" t="str">
        <f>TEXT(Table1[[#This Row],[harvest_date]],"mmmm")</f>
        <v>July</v>
      </c>
      <c r="P273">
        <v>107</v>
      </c>
      <c r="Q273">
        <v>4422.42</v>
      </c>
      <c r="R273" t="s">
        <v>612</v>
      </c>
      <c r="S273" s="5">
        <v>45449</v>
      </c>
      <c r="T273">
        <v>15.772784</v>
      </c>
      <c r="U273">
        <v>74.643651000000006</v>
      </c>
      <c r="V273">
        <v>0.71</v>
      </c>
      <c r="W273" t="s">
        <v>31</v>
      </c>
      <c r="X273">
        <v>107</v>
      </c>
      <c r="Y273" t="s">
        <v>62</v>
      </c>
      <c r="Z273" t="s">
        <v>63</v>
      </c>
    </row>
    <row r="274" spans="1:26" x14ac:dyDescent="0.35">
      <c r="A274" t="s">
        <v>613</v>
      </c>
      <c r="B274" t="s">
        <v>3</v>
      </c>
      <c r="C274" t="s">
        <v>11</v>
      </c>
      <c r="D274">
        <v>14.69</v>
      </c>
      <c r="E274">
        <v>7.19</v>
      </c>
      <c r="F274">
        <v>24.38</v>
      </c>
      <c r="G274">
        <v>212.39</v>
      </c>
      <c r="H274">
        <v>49.2</v>
      </c>
      <c r="I274">
        <v>6.32</v>
      </c>
      <c r="J274" t="s">
        <v>32</v>
      </c>
      <c r="K274" t="s">
        <v>18</v>
      </c>
      <c r="L274">
        <v>12.37</v>
      </c>
      <c r="M274" s="5">
        <v>45293</v>
      </c>
      <c r="N274" s="5">
        <v>45409</v>
      </c>
      <c r="O274" s="5" t="str">
        <f>TEXT(Table1[[#This Row],[harvest_date]],"mmmm")</f>
        <v>April</v>
      </c>
      <c r="P274">
        <v>116</v>
      </c>
      <c r="Q274">
        <v>5058.16</v>
      </c>
      <c r="R274" t="s">
        <v>614</v>
      </c>
      <c r="S274" s="5">
        <v>45294</v>
      </c>
      <c r="T274">
        <v>33.135877000000001</v>
      </c>
      <c r="U274">
        <v>89.003961000000004</v>
      </c>
      <c r="V274">
        <v>0.43</v>
      </c>
      <c r="W274" t="s">
        <v>30</v>
      </c>
      <c r="X274">
        <v>116</v>
      </c>
      <c r="Y274" t="s">
        <v>62</v>
      </c>
      <c r="Z274" t="s">
        <v>63</v>
      </c>
    </row>
    <row r="275" spans="1:26" x14ac:dyDescent="0.35">
      <c r="A275" t="s">
        <v>615</v>
      </c>
      <c r="B275" t="s">
        <v>4</v>
      </c>
      <c r="C275" t="s">
        <v>13</v>
      </c>
      <c r="D275">
        <v>16.2</v>
      </c>
      <c r="E275">
        <v>7.41</v>
      </c>
      <c r="F275">
        <v>23.79</v>
      </c>
      <c r="G275">
        <v>204.26</v>
      </c>
      <c r="H275">
        <v>74.39</v>
      </c>
      <c r="I275">
        <v>9.1999999999999993</v>
      </c>
      <c r="J275" t="s">
        <v>65</v>
      </c>
      <c r="K275" t="s">
        <v>19</v>
      </c>
      <c r="L275">
        <v>23.22</v>
      </c>
      <c r="M275" s="5">
        <v>45311</v>
      </c>
      <c r="N275" s="5">
        <v>45448</v>
      </c>
      <c r="O275" s="5" t="str">
        <f>TEXT(Table1[[#This Row],[harvest_date]],"mmmm")</f>
        <v>June</v>
      </c>
      <c r="P275">
        <v>137</v>
      </c>
      <c r="Q275">
        <v>5297.31</v>
      </c>
      <c r="R275" t="s">
        <v>616</v>
      </c>
      <c r="S275" s="5">
        <v>45391</v>
      </c>
      <c r="T275">
        <v>19.853767999999999</v>
      </c>
      <c r="U275">
        <v>88.782782999999995</v>
      </c>
      <c r="V275">
        <v>0.64</v>
      </c>
      <c r="W275" t="s">
        <v>32</v>
      </c>
      <c r="X275">
        <v>137</v>
      </c>
      <c r="Y275" t="s">
        <v>67</v>
      </c>
      <c r="Z275" t="s">
        <v>72</v>
      </c>
    </row>
    <row r="276" spans="1:26" x14ac:dyDescent="0.35">
      <c r="A276" t="s">
        <v>617</v>
      </c>
      <c r="B276" t="s">
        <v>2</v>
      </c>
      <c r="C276" t="s">
        <v>13</v>
      </c>
      <c r="D276">
        <v>25.81</v>
      </c>
      <c r="E276">
        <v>7.15</v>
      </c>
      <c r="F276">
        <v>15.85</v>
      </c>
      <c r="G276">
        <v>298.95999999999998</v>
      </c>
      <c r="H276">
        <v>65.94</v>
      </c>
      <c r="I276">
        <v>6.37</v>
      </c>
      <c r="J276" t="s">
        <v>69</v>
      </c>
      <c r="K276" t="s">
        <v>17</v>
      </c>
      <c r="L276">
        <v>22.43</v>
      </c>
      <c r="M276" s="5">
        <v>45353</v>
      </c>
      <c r="N276" s="5">
        <v>45455</v>
      </c>
      <c r="O276" s="5" t="str">
        <f>TEXT(Table1[[#This Row],[harvest_date]],"mmmm")</f>
        <v>June</v>
      </c>
      <c r="P276">
        <v>102</v>
      </c>
      <c r="Q276">
        <v>3164.72</v>
      </c>
      <c r="R276" t="s">
        <v>618</v>
      </c>
      <c r="S276" s="5">
        <v>45403</v>
      </c>
      <c r="T276">
        <v>32.109938999999997</v>
      </c>
      <c r="U276">
        <v>85.47354</v>
      </c>
      <c r="V276">
        <v>0.47</v>
      </c>
      <c r="W276" t="s">
        <v>30</v>
      </c>
      <c r="X276">
        <v>102</v>
      </c>
      <c r="Y276" t="s">
        <v>62</v>
      </c>
      <c r="Z276" t="s">
        <v>72</v>
      </c>
    </row>
    <row r="277" spans="1:26" x14ac:dyDescent="0.35">
      <c r="A277" t="s">
        <v>619</v>
      </c>
      <c r="B277" t="s">
        <v>5</v>
      </c>
      <c r="C277" t="s">
        <v>14</v>
      </c>
      <c r="D277">
        <v>31.46</v>
      </c>
      <c r="E277">
        <v>5.61</v>
      </c>
      <c r="F277">
        <v>25.34</v>
      </c>
      <c r="G277">
        <v>85.56</v>
      </c>
      <c r="H277">
        <v>81.489999999999995</v>
      </c>
      <c r="I277">
        <v>6.71</v>
      </c>
      <c r="J277" t="s">
        <v>69</v>
      </c>
      <c r="K277" t="s">
        <v>18</v>
      </c>
      <c r="L277">
        <v>40.04</v>
      </c>
      <c r="M277" s="5">
        <v>45369</v>
      </c>
      <c r="N277" s="5">
        <v>45467</v>
      </c>
      <c r="O277" s="5" t="str">
        <f>TEXT(Table1[[#This Row],[harvest_date]],"mmmm")</f>
        <v>June</v>
      </c>
      <c r="P277">
        <v>98</v>
      </c>
      <c r="Q277">
        <v>3572.27</v>
      </c>
      <c r="R277" t="s">
        <v>620</v>
      </c>
      <c r="S277" s="5">
        <v>45410</v>
      </c>
      <c r="T277">
        <v>21.272145999999999</v>
      </c>
      <c r="U277">
        <v>73.577572000000004</v>
      </c>
      <c r="V277">
        <v>0.65</v>
      </c>
      <c r="W277" t="s">
        <v>30</v>
      </c>
      <c r="X277">
        <v>98</v>
      </c>
      <c r="Y277" t="s">
        <v>62</v>
      </c>
      <c r="Z277" t="s">
        <v>82</v>
      </c>
    </row>
    <row r="278" spans="1:26" x14ac:dyDescent="0.35">
      <c r="A278" t="s">
        <v>621</v>
      </c>
      <c r="B278" t="s">
        <v>5</v>
      </c>
      <c r="C278" t="s">
        <v>13</v>
      </c>
      <c r="D278">
        <v>18.75</v>
      </c>
      <c r="E278">
        <v>6.88</v>
      </c>
      <c r="F278">
        <v>33.14</v>
      </c>
      <c r="G278">
        <v>249.12</v>
      </c>
      <c r="H278">
        <v>75.92</v>
      </c>
      <c r="I278">
        <v>4.74</v>
      </c>
      <c r="J278" t="s">
        <v>69</v>
      </c>
      <c r="K278" t="s">
        <v>17</v>
      </c>
      <c r="L278">
        <v>25.22</v>
      </c>
      <c r="M278" s="5">
        <v>45325</v>
      </c>
      <c r="N278" s="5">
        <v>45448</v>
      </c>
      <c r="O278" s="5" t="str">
        <f>TEXT(Table1[[#This Row],[harvest_date]],"mmmm")</f>
        <v>June</v>
      </c>
      <c r="P278">
        <v>123</v>
      </c>
      <c r="Q278">
        <v>4829.12</v>
      </c>
      <c r="R278" t="s">
        <v>622</v>
      </c>
      <c r="S278" s="5">
        <v>45418</v>
      </c>
      <c r="T278">
        <v>29.776665000000001</v>
      </c>
      <c r="U278">
        <v>80.233328999999998</v>
      </c>
      <c r="V278">
        <v>0.87</v>
      </c>
      <c r="W278" t="s">
        <v>33</v>
      </c>
      <c r="X278">
        <v>123</v>
      </c>
      <c r="Y278" t="s">
        <v>62</v>
      </c>
      <c r="Z278" t="s">
        <v>72</v>
      </c>
    </row>
    <row r="279" spans="1:26" x14ac:dyDescent="0.35">
      <c r="A279" t="s">
        <v>623</v>
      </c>
      <c r="B279" t="s">
        <v>2</v>
      </c>
      <c r="C279" t="s">
        <v>11</v>
      </c>
      <c r="D279">
        <v>11.54</v>
      </c>
      <c r="E279">
        <v>5.84</v>
      </c>
      <c r="F279">
        <v>21.7</v>
      </c>
      <c r="G279">
        <v>267.83</v>
      </c>
      <c r="H279">
        <v>83.13</v>
      </c>
      <c r="I279">
        <v>4.97</v>
      </c>
      <c r="J279" t="s">
        <v>65</v>
      </c>
      <c r="K279" t="s">
        <v>18</v>
      </c>
      <c r="L279">
        <v>39.61</v>
      </c>
      <c r="M279" s="5">
        <v>45305</v>
      </c>
      <c r="N279" s="5">
        <v>45414</v>
      </c>
      <c r="O279" s="5" t="str">
        <f>TEXT(Table1[[#This Row],[harvest_date]],"mmmm")</f>
        <v>May</v>
      </c>
      <c r="P279">
        <v>109</v>
      </c>
      <c r="Q279">
        <v>3238.07</v>
      </c>
      <c r="R279" t="s">
        <v>624</v>
      </c>
      <c r="S279" s="5">
        <v>45403</v>
      </c>
      <c r="T279">
        <v>34.024152999999998</v>
      </c>
      <c r="U279">
        <v>75.775610999999998</v>
      </c>
      <c r="V279">
        <v>0.41</v>
      </c>
      <c r="W279" t="s">
        <v>30</v>
      </c>
      <c r="X279">
        <v>109</v>
      </c>
      <c r="Y279" t="s">
        <v>62</v>
      </c>
      <c r="Z279" t="s">
        <v>82</v>
      </c>
    </row>
    <row r="280" spans="1:26" x14ac:dyDescent="0.35">
      <c r="A280" t="s">
        <v>625</v>
      </c>
      <c r="B280" t="s">
        <v>4</v>
      </c>
      <c r="C280" t="s">
        <v>13</v>
      </c>
      <c r="D280">
        <v>31.79</v>
      </c>
      <c r="E280">
        <v>6.01</v>
      </c>
      <c r="F280">
        <v>24.17</v>
      </c>
      <c r="G280">
        <v>263.85000000000002</v>
      </c>
      <c r="H280">
        <v>67.180000000000007</v>
      </c>
      <c r="I280">
        <v>4.03</v>
      </c>
      <c r="J280" t="s">
        <v>32</v>
      </c>
      <c r="K280" t="s">
        <v>18</v>
      </c>
      <c r="L280">
        <v>14.76</v>
      </c>
      <c r="M280" s="5">
        <v>45367</v>
      </c>
      <c r="N280" s="5">
        <v>45486</v>
      </c>
      <c r="O280" s="5" t="str">
        <f>TEXT(Table1[[#This Row],[harvest_date]],"mmmm")</f>
        <v>July</v>
      </c>
      <c r="P280">
        <v>119</v>
      </c>
      <c r="Q280">
        <v>3640.61</v>
      </c>
      <c r="R280" t="s">
        <v>626</v>
      </c>
      <c r="S280" s="5">
        <v>45377</v>
      </c>
      <c r="T280">
        <v>25.030414</v>
      </c>
      <c r="U280">
        <v>70.131460000000004</v>
      </c>
      <c r="V280">
        <v>0.83</v>
      </c>
      <c r="W280" t="s">
        <v>31</v>
      </c>
      <c r="X280">
        <v>119</v>
      </c>
      <c r="Y280" t="s">
        <v>62</v>
      </c>
      <c r="Z280" t="s">
        <v>63</v>
      </c>
    </row>
    <row r="281" spans="1:26" x14ac:dyDescent="0.35">
      <c r="A281" t="s">
        <v>627</v>
      </c>
      <c r="B281" t="s">
        <v>2</v>
      </c>
      <c r="C281" t="s">
        <v>12</v>
      </c>
      <c r="D281">
        <v>38.700000000000003</v>
      </c>
      <c r="E281">
        <v>5.92</v>
      </c>
      <c r="F281">
        <v>18.7</v>
      </c>
      <c r="G281">
        <v>63.77</v>
      </c>
      <c r="H281">
        <v>57.45</v>
      </c>
      <c r="I281">
        <v>4.87</v>
      </c>
      <c r="J281" t="s">
        <v>69</v>
      </c>
      <c r="K281" t="s">
        <v>17</v>
      </c>
      <c r="L281">
        <v>31.01</v>
      </c>
      <c r="M281" s="5">
        <v>45361</v>
      </c>
      <c r="N281" s="5">
        <v>45472</v>
      </c>
      <c r="O281" s="5" t="str">
        <f>TEXT(Table1[[#This Row],[harvest_date]],"mmmm")</f>
        <v>June</v>
      </c>
      <c r="P281">
        <v>111</v>
      </c>
      <c r="Q281">
        <v>5681.54</v>
      </c>
      <c r="R281" t="s">
        <v>628</v>
      </c>
      <c r="S281" s="5">
        <v>45367</v>
      </c>
      <c r="T281">
        <v>12.722191</v>
      </c>
      <c r="U281">
        <v>89.874703999999994</v>
      </c>
      <c r="V281">
        <v>0.4</v>
      </c>
      <c r="W281" t="s">
        <v>31</v>
      </c>
      <c r="X281">
        <v>111</v>
      </c>
      <c r="Y281" t="s">
        <v>67</v>
      </c>
      <c r="Z281" t="s">
        <v>72</v>
      </c>
    </row>
    <row r="282" spans="1:26" x14ac:dyDescent="0.35">
      <c r="A282" t="s">
        <v>629</v>
      </c>
      <c r="B282" t="s">
        <v>2</v>
      </c>
      <c r="C282" t="s">
        <v>12</v>
      </c>
      <c r="D282">
        <v>30.03</v>
      </c>
      <c r="E282">
        <v>6.62</v>
      </c>
      <c r="F282">
        <v>34.33</v>
      </c>
      <c r="G282">
        <v>237.33</v>
      </c>
      <c r="H282">
        <v>58.01</v>
      </c>
      <c r="I282">
        <v>4.22</v>
      </c>
      <c r="J282" t="s">
        <v>80</v>
      </c>
      <c r="K282" t="s">
        <v>19</v>
      </c>
      <c r="L282">
        <v>21.59</v>
      </c>
      <c r="M282" s="5">
        <v>45349</v>
      </c>
      <c r="N282" s="5">
        <v>45443</v>
      </c>
      <c r="O282" s="5" t="str">
        <f>TEXT(Table1[[#This Row],[harvest_date]],"mmmm")</f>
        <v>May</v>
      </c>
      <c r="P282">
        <v>94</v>
      </c>
      <c r="Q282">
        <v>5033.7700000000004</v>
      </c>
      <c r="R282" t="s">
        <v>630</v>
      </c>
      <c r="S282" s="5">
        <v>45419</v>
      </c>
      <c r="T282">
        <v>11.623146999999999</v>
      </c>
      <c r="U282">
        <v>79.416336999999999</v>
      </c>
      <c r="V282">
        <v>0.37</v>
      </c>
      <c r="W282" t="s">
        <v>31</v>
      </c>
      <c r="X282">
        <v>94</v>
      </c>
      <c r="Y282" t="s">
        <v>62</v>
      </c>
      <c r="Z282" t="s">
        <v>72</v>
      </c>
    </row>
    <row r="283" spans="1:26" x14ac:dyDescent="0.35">
      <c r="A283" t="s">
        <v>631</v>
      </c>
      <c r="B283" t="s">
        <v>1</v>
      </c>
      <c r="C283" t="s">
        <v>12</v>
      </c>
      <c r="D283">
        <v>24.48</v>
      </c>
      <c r="E283">
        <v>5.92</v>
      </c>
      <c r="F283">
        <v>19.18</v>
      </c>
      <c r="G283">
        <v>64.55</v>
      </c>
      <c r="H283">
        <v>68.569999999999993</v>
      </c>
      <c r="I283">
        <v>9.8800000000000008</v>
      </c>
      <c r="J283" t="s">
        <v>69</v>
      </c>
      <c r="K283" t="s">
        <v>19</v>
      </c>
      <c r="L283">
        <v>37.58</v>
      </c>
      <c r="M283" s="5">
        <v>45377</v>
      </c>
      <c r="N283" s="5">
        <v>45512</v>
      </c>
      <c r="O283" s="5" t="str">
        <f>TEXT(Table1[[#This Row],[harvest_date]],"mmmm")</f>
        <v>August</v>
      </c>
      <c r="P283">
        <v>135</v>
      </c>
      <c r="Q283">
        <v>3148.75</v>
      </c>
      <c r="R283" t="s">
        <v>632</v>
      </c>
      <c r="S283" s="5">
        <v>45458</v>
      </c>
      <c r="T283">
        <v>16.491501</v>
      </c>
      <c r="U283">
        <v>81.502853999999999</v>
      </c>
      <c r="V283">
        <v>0.67</v>
      </c>
      <c r="W283" t="s">
        <v>30</v>
      </c>
      <c r="X283">
        <v>135</v>
      </c>
      <c r="Y283" t="s">
        <v>62</v>
      </c>
      <c r="Z283" t="s">
        <v>72</v>
      </c>
    </row>
    <row r="284" spans="1:26" x14ac:dyDescent="0.35">
      <c r="A284" t="s">
        <v>633</v>
      </c>
      <c r="B284" t="s">
        <v>2</v>
      </c>
      <c r="C284" t="s">
        <v>12</v>
      </c>
      <c r="D284">
        <v>27.37</v>
      </c>
      <c r="E284">
        <v>6.96</v>
      </c>
      <c r="F284">
        <v>24.95</v>
      </c>
      <c r="G284">
        <v>252</v>
      </c>
      <c r="H284">
        <v>84.18</v>
      </c>
      <c r="I284">
        <v>5.4</v>
      </c>
      <c r="J284" t="s">
        <v>80</v>
      </c>
      <c r="K284" t="s">
        <v>18</v>
      </c>
      <c r="L284">
        <v>5.07</v>
      </c>
      <c r="M284" s="5">
        <v>45306</v>
      </c>
      <c r="N284" s="5">
        <v>45436</v>
      </c>
      <c r="O284" s="5" t="str">
        <f>TEXT(Table1[[#This Row],[harvest_date]],"mmmm")</f>
        <v>May</v>
      </c>
      <c r="P284">
        <v>130</v>
      </c>
      <c r="Q284">
        <v>5186.93</v>
      </c>
      <c r="R284" t="s">
        <v>634</v>
      </c>
      <c r="S284" s="5">
        <v>45359</v>
      </c>
      <c r="T284">
        <v>29.989108999999999</v>
      </c>
      <c r="U284">
        <v>89.979740000000007</v>
      </c>
      <c r="V284">
        <v>0.55000000000000004</v>
      </c>
      <c r="W284" t="s">
        <v>31</v>
      </c>
      <c r="X284">
        <v>130</v>
      </c>
      <c r="Y284" t="s">
        <v>67</v>
      </c>
      <c r="Z284" t="s">
        <v>63</v>
      </c>
    </row>
    <row r="285" spans="1:26" x14ac:dyDescent="0.35">
      <c r="A285" t="s">
        <v>635</v>
      </c>
      <c r="B285" t="s">
        <v>1</v>
      </c>
      <c r="C285" t="s">
        <v>12</v>
      </c>
      <c r="D285">
        <v>38.21</v>
      </c>
      <c r="E285">
        <v>5.92</v>
      </c>
      <c r="F285">
        <v>27.81</v>
      </c>
      <c r="G285">
        <v>222.5</v>
      </c>
      <c r="H285">
        <v>52.72</v>
      </c>
      <c r="I285">
        <v>4.41</v>
      </c>
      <c r="J285" t="s">
        <v>80</v>
      </c>
      <c r="K285" t="s">
        <v>17</v>
      </c>
      <c r="L285">
        <v>29.75</v>
      </c>
      <c r="M285" s="5">
        <v>45295</v>
      </c>
      <c r="N285" s="5">
        <v>45428</v>
      </c>
      <c r="O285" s="5" t="str">
        <f>TEXT(Table1[[#This Row],[harvest_date]],"mmmm")</f>
        <v>May</v>
      </c>
      <c r="P285">
        <v>133</v>
      </c>
      <c r="Q285">
        <v>3333.13</v>
      </c>
      <c r="R285" t="s">
        <v>636</v>
      </c>
      <c r="S285" s="5">
        <v>45396</v>
      </c>
      <c r="T285">
        <v>28.109915999999998</v>
      </c>
      <c r="U285">
        <v>82.319867000000002</v>
      </c>
      <c r="V285">
        <v>0.32</v>
      </c>
      <c r="W285" t="s">
        <v>30</v>
      </c>
      <c r="X285">
        <v>133</v>
      </c>
      <c r="Y285" t="s">
        <v>62</v>
      </c>
      <c r="Z285" t="s">
        <v>72</v>
      </c>
    </row>
    <row r="286" spans="1:26" x14ac:dyDescent="0.35">
      <c r="A286" t="s">
        <v>637</v>
      </c>
      <c r="B286" t="s">
        <v>4</v>
      </c>
      <c r="C286" t="s">
        <v>14</v>
      </c>
      <c r="D286">
        <v>39.18</v>
      </c>
      <c r="E286">
        <v>7.34</v>
      </c>
      <c r="F286">
        <v>24.58</v>
      </c>
      <c r="G286">
        <v>168.63</v>
      </c>
      <c r="H286">
        <v>41.78</v>
      </c>
      <c r="I286">
        <v>4.8099999999999996</v>
      </c>
      <c r="J286" t="s">
        <v>65</v>
      </c>
      <c r="K286" t="s">
        <v>17</v>
      </c>
      <c r="L286">
        <v>25.73</v>
      </c>
      <c r="M286" s="5">
        <v>45362</v>
      </c>
      <c r="N286" s="5">
        <v>45481</v>
      </c>
      <c r="O286" s="5" t="str">
        <f>TEXT(Table1[[#This Row],[harvest_date]],"mmmm")</f>
        <v>July</v>
      </c>
      <c r="P286">
        <v>119</v>
      </c>
      <c r="Q286">
        <v>5135.96</v>
      </c>
      <c r="R286" t="s">
        <v>638</v>
      </c>
      <c r="S286" s="5">
        <v>45414</v>
      </c>
      <c r="T286">
        <v>33.194749000000002</v>
      </c>
      <c r="U286">
        <v>71.120446000000001</v>
      </c>
      <c r="V286">
        <v>0.61</v>
      </c>
      <c r="W286" t="s">
        <v>31</v>
      </c>
      <c r="X286">
        <v>119</v>
      </c>
      <c r="Y286" t="s">
        <v>67</v>
      </c>
      <c r="Z286" t="s">
        <v>72</v>
      </c>
    </row>
    <row r="287" spans="1:26" x14ac:dyDescent="0.35">
      <c r="A287" t="s">
        <v>639</v>
      </c>
      <c r="B287" t="s">
        <v>2</v>
      </c>
      <c r="C287" t="s">
        <v>12</v>
      </c>
      <c r="D287">
        <v>10.66</v>
      </c>
      <c r="E287">
        <v>6.65</v>
      </c>
      <c r="F287">
        <v>21.63</v>
      </c>
      <c r="G287">
        <v>279.05</v>
      </c>
      <c r="H287">
        <v>79.790000000000006</v>
      </c>
      <c r="I287">
        <v>4.4000000000000004</v>
      </c>
      <c r="J287" t="s">
        <v>65</v>
      </c>
      <c r="K287" t="s">
        <v>19</v>
      </c>
      <c r="L287">
        <v>42.83</v>
      </c>
      <c r="M287" s="5">
        <v>45335</v>
      </c>
      <c r="N287" s="5">
        <v>45465</v>
      </c>
      <c r="O287" s="5" t="str">
        <f>TEXT(Table1[[#This Row],[harvest_date]],"mmmm")</f>
        <v>June</v>
      </c>
      <c r="P287">
        <v>130</v>
      </c>
      <c r="Q287">
        <v>4137.09</v>
      </c>
      <c r="R287" t="s">
        <v>640</v>
      </c>
      <c r="S287" s="5">
        <v>45377</v>
      </c>
      <c r="T287">
        <v>24.274540999999999</v>
      </c>
      <c r="U287">
        <v>77.791325000000001</v>
      </c>
      <c r="V287">
        <v>0.66</v>
      </c>
      <c r="W287" t="s">
        <v>31</v>
      </c>
      <c r="X287">
        <v>130</v>
      </c>
      <c r="Y287" t="s">
        <v>62</v>
      </c>
      <c r="Z287" t="s">
        <v>82</v>
      </c>
    </row>
    <row r="288" spans="1:26" x14ac:dyDescent="0.35">
      <c r="A288" t="s">
        <v>641</v>
      </c>
      <c r="B288" t="s">
        <v>1</v>
      </c>
      <c r="C288" t="s">
        <v>13</v>
      </c>
      <c r="D288">
        <v>19.5</v>
      </c>
      <c r="E288">
        <v>5.67</v>
      </c>
      <c r="F288">
        <v>32.54</v>
      </c>
      <c r="G288">
        <v>142.9</v>
      </c>
      <c r="H288">
        <v>81.47</v>
      </c>
      <c r="I288">
        <v>5.82</v>
      </c>
      <c r="J288" t="s">
        <v>80</v>
      </c>
      <c r="K288" t="s">
        <v>18</v>
      </c>
      <c r="L288">
        <v>10.050000000000001</v>
      </c>
      <c r="M288" s="5">
        <v>45316</v>
      </c>
      <c r="N288" s="5">
        <v>45418</v>
      </c>
      <c r="O288" s="5" t="str">
        <f>TEXT(Table1[[#This Row],[harvest_date]],"mmmm")</f>
        <v>May</v>
      </c>
      <c r="P288">
        <v>102</v>
      </c>
      <c r="Q288">
        <v>5653.42</v>
      </c>
      <c r="R288" t="s">
        <v>642</v>
      </c>
      <c r="S288" s="5">
        <v>45372</v>
      </c>
      <c r="T288">
        <v>22.649867</v>
      </c>
      <c r="U288">
        <v>85.980506000000005</v>
      </c>
      <c r="V288">
        <v>0.84</v>
      </c>
      <c r="W288" t="s">
        <v>30</v>
      </c>
      <c r="X288">
        <v>102</v>
      </c>
      <c r="Y288" t="s">
        <v>67</v>
      </c>
      <c r="Z288" t="s">
        <v>63</v>
      </c>
    </row>
    <row r="289" spans="1:26" x14ac:dyDescent="0.35">
      <c r="A289" t="s">
        <v>643</v>
      </c>
      <c r="B289" t="s">
        <v>4</v>
      </c>
      <c r="C289" t="s">
        <v>14</v>
      </c>
      <c r="D289">
        <v>42.33</v>
      </c>
      <c r="E289">
        <v>6.96</v>
      </c>
      <c r="F289">
        <v>25.47</v>
      </c>
      <c r="G289">
        <v>243.88</v>
      </c>
      <c r="H289">
        <v>47.16</v>
      </c>
      <c r="I289">
        <v>9.23</v>
      </c>
      <c r="J289" t="s">
        <v>65</v>
      </c>
      <c r="K289" t="s">
        <v>18</v>
      </c>
      <c r="L289">
        <v>37.61</v>
      </c>
      <c r="M289" s="5">
        <v>45335</v>
      </c>
      <c r="N289" s="5">
        <v>45470</v>
      </c>
      <c r="O289" s="5" t="str">
        <f>TEXT(Table1[[#This Row],[harvest_date]],"mmmm")</f>
        <v>June</v>
      </c>
      <c r="P289">
        <v>135</v>
      </c>
      <c r="Q289">
        <v>5459.24</v>
      </c>
      <c r="R289" t="s">
        <v>644</v>
      </c>
      <c r="S289" s="5">
        <v>45364</v>
      </c>
      <c r="T289">
        <v>10.102747000000001</v>
      </c>
      <c r="U289">
        <v>88.646747000000005</v>
      </c>
      <c r="V289">
        <v>0.71</v>
      </c>
      <c r="W289" t="s">
        <v>32</v>
      </c>
      <c r="X289">
        <v>135</v>
      </c>
      <c r="Y289" t="s">
        <v>67</v>
      </c>
      <c r="Z289" t="s">
        <v>72</v>
      </c>
    </row>
    <row r="290" spans="1:26" x14ac:dyDescent="0.35">
      <c r="A290" t="s">
        <v>645</v>
      </c>
      <c r="B290" t="s">
        <v>1</v>
      </c>
      <c r="C290" t="s">
        <v>11</v>
      </c>
      <c r="D290">
        <v>41.12</v>
      </c>
      <c r="E290">
        <v>5.71</v>
      </c>
      <c r="F290">
        <v>30.32</v>
      </c>
      <c r="G290">
        <v>236.39</v>
      </c>
      <c r="H290">
        <v>41.12</v>
      </c>
      <c r="I290">
        <v>8.5500000000000007</v>
      </c>
      <c r="J290" t="s">
        <v>65</v>
      </c>
      <c r="K290" t="s">
        <v>19</v>
      </c>
      <c r="L290">
        <v>14.02</v>
      </c>
      <c r="M290" s="5">
        <v>45331</v>
      </c>
      <c r="N290" s="5">
        <v>45455</v>
      </c>
      <c r="O290" s="5" t="str">
        <f>TEXT(Table1[[#This Row],[harvest_date]],"mmmm")</f>
        <v>June</v>
      </c>
      <c r="P290">
        <v>124</v>
      </c>
      <c r="Q290">
        <v>3276.6</v>
      </c>
      <c r="R290" t="s">
        <v>646</v>
      </c>
      <c r="S290" s="5">
        <v>45387</v>
      </c>
      <c r="T290">
        <v>26.778100999999999</v>
      </c>
      <c r="U290">
        <v>75.453084000000004</v>
      </c>
      <c r="V290">
        <v>0.39</v>
      </c>
      <c r="W290" t="s">
        <v>32</v>
      </c>
      <c r="X290">
        <v>124</v>
      </c>
      <c r="Y290" t="s">
        <v>62</v>
      </c>
      <c r="Z290" t="s">
        <v>63</v>
      </c>
    </row>
    <row r="291" spans="1:26" x14ac:dyDescent="0.35">
      <c r="A291" t="s">
        <v>647</v>
      </c>
      <c r="B291" t="s">
        <v>3</v>
      </c>
      <c r="C291" t="s">
        <v>12</v>
      </c>
      <c r="D291">
        <v>29.59</v>
      </c>
      <c r="E291">
        <v>5.7</v>
      </c>
      <c r="F291">
        <v>25.85</v>
      </c>
      <c r="G291">
        <v>187.34</v>
      </c>
      <c r="H291">
        <v>53.55</v>
      </c>
      <c r="I291">
        <v>9.66</v>
      </c>
      <c r="J291" t="s">
        <v>80</v>
      </c>
      <c r="K291" t="s">
        <v>17</v>
      </c>
      <c r="L291">
        <v>16.02</v>
      </c>
      <c r="M291" s="5">
        <v>45301</v>
      </c>
      <c r="N291" s="5">
        <v>45430</v>
      </c>
      <c r="O291" s="5" t="str">
        <f>TEXT(Table1[[#This Row],[harvest_date]],"mmmm")</f>
        <v>May</v>
      </c>
      <c r="P291">
        <v>129</v>
      </c>
      <c r="Q291">
        <v>5568.97</v>
      </c>
      <c r="R291" t="s">
        <v>648</v>
      </c>
      <c r="S291" s="5">
        <v>45414</v>
      </c>
      <c r="T291">
        <v>11.268155</v>
      </c>
      <c r="U291">
        <v>70.579853999999997</v>
      </c>
      <c r="V291">
        <v>0.84</v>
      </c>
      <c r="W291" t="s">
        <v>32</v>
      </c>
      <c r="X291">
        <v>129</v>
      </c>
      <c r="Y291" t="s">
        <v>67</v>
      </c>
      <c r="Z291" t="s">
        <v>72</v>
      </c>
    </row>
    <row r="292" spans="1:26" x14ac:dyDescent="0.35">
      <c r="A292" t="s">
        <v>649</v>
      </c>
      <c r="B292" t="s">
        <v>3</v>
      </c>
      <c r="C292" t="s">
        <v>11</v>
      </c>
      <c r="D292">
        <v>11.88</v>
      </c>
      <c r="E292">
        <v>6.35</v>
      </c>
      <c r="F292">
        <v>18.579999999999998</v>
      </c>
      <c r="G292">
        <v>199.03</v>
      </c>
      <c r="H292">
        <v>69.64</v>
      </c>
      <c r="I292">
        <v>9.02</v>
      </c>
      <c r="J292" t="s">
        <v>32</v>
      </c>
      <c r="K292" t="s">
        <v>17</v>
      </c>
      <c r="L292">
        <v>21</v>
      </c>
      <c r="M292" s="5">
        <v>45349</v>
      </c>
      <c r="N292" s="5">
        <v>45451</v>
      </c>
      <c r="O292" s="5" t="str">
        <f>TEXT(Table1[[#This Row],[harvest_date]],"mmmm")</f>
        <v>June</v>
      </c>
      <c r="P292">
        <v>102</v>
      </c>
      <c r="Q292">
        <v>4851.59</v>
      </c>
      <c r="R292" t="s">
        <v>650</v>
      </c>
      <c r="S292" s="5">
        <v>45434</v>
      </c>
      <c r="T292">
        <v>30.232496000000001</v>
      </c>
      <c r="U292">
        <v>71.570912000000007</v>
      </c>
      <c r="V292">
        <v>0.85</v>
      </c>
      <c r="W292" t="s">
        <v>33</v>
      </c>
      <c r="X292">
        <v>102</v>
      </c>
      <c r="Y292" t="s">
        <v>62</v>
      </c>
      <c r="Z292" t="s">
        <v>72</v>
      </c>
    </row>
    <row r="293" spans="1:26" x14ac:dyDescent="0.35">
      <c r="A293" t="s">
        <v>651</v>
      </c>
      <c r="B293" t="s">
        <v>2</v>
      </c>
      <c r="C293" t="s">
        <v>10</v>
      </c>
      <c r="D293">
        <v>13.25</v>
      </c>
      <c r="E293">
        <v>7.1</v>
      </c>
      <c r="F293">
        <v>28.97</v>
      </c>
      <c r="G293">
        <v>74.319999999999993</v>
      </c>
      <c r="H293">
        <v>55.52</v>
      </c>
      <c r="I293">
        <v>7.87</v>
      </c>
      <c r="J293" t="s">
        <v>32</v>
      </c>
      <c r="K293" t="s">
        <v>19</v>
      </c>
      <c r="L293">
        <v>15.43</v>
      </c>
      <c r="M293" s="5">
        <v>45296</v>
      </c>
      <c r="N293" s="5">
        <v>45441</v>
      </c>
      <c r="O293" s="5" t="str">
        <f>TEXT(Table1[[#This Row],[harvest_date]],"mmmm")</f>
        <v>May</v>
      </c>
      <c r="P293">
        <v>145</v>
      </c>
      <c r="Q293">
        <v>5582.8</v>
      </c>
      <c r="R293" t="s">
        <v>652</v>
      </c>
      <c r="S293" s="5">
        <v>45362</v>
      </c>
      <c r="T293">
        <v>32.821539999999999</v>
      </c>
      <c r="U293">
        <v>77.841538</v>
      </c>
      <c r="V293">
        <v>0.72</v>
      </c>
      <c r="W293" t="s">
        <v>31</v>
      </c>
      <c r="X293">
        <v>145</v>
      </c>
      <c r="Y293" t="s">
        <v>67</v>
      </c>
      <c r="Z293" t="s">
        <v>72</v>
      </c>
    </row>
    <row r="294" spans="1:26" x14ac:dyDescent="0.35">
      <c r="A294" t="s">
        <v>653</v>
      </c>
      <c r="B294" t="s">
        <v>1</v>
      </c>
      <c r="C294" t="s">
        <v>11</v>
      </c>
      <c r="D294">
        <v>27.06</v>
      </c>
      <c r="E294">
        <v>5.63</v>
      </c>
      <c r="F294">
        <v>17.260000000000002</v>
      </c>
      <c r="G294">
        <v>169.66</v>
      </c>
      <c r="H294">
        <v>82.29</v>
      </c>
      <c r="I294">
        <v>5.69</v>
      </c>
      <c r="J294" t="s">
        <v>80</v>
      </c>
      <c r="K294" t="s">
        <v>17</v>
      </c>
      <c r="L294">
        <v>30.86</v>
      </c>
      <c r="M294" s="5">
        <v>45355</v>
      </c>
      <c r="N294" s="5">
        <v>45470</v>
      </c>
      <c r="O294" s="5" t="str">
        <f>TEXT(Table1[[#This Row],[harvest_date]],"mmmm")</f>
        <v>June</v>
      </c>
      <c r="P294">
        <v>115</v>
      </c>
      <c r="Q294">
        <v>5270.21</v>
      </c>
      <c r="R294" t="s">
        <v>654</v>
      </c>
      <c r="S294" s="5">
        <v>45456</v>
      </c>
      <c r="T294">
        <v>12.674531999999999</v>
      </c>
      <c r="U294">
        <v>81.122996999999998</v>
      </c>
      <c r="V294">
        <v>0.34</v>
      </c>
      <c r="W294" t="s">
        <v>31</v>
      </c>
      <c r="X294">
        <v>115</v>
      </c>
      <c r="Y294" t="s">
        <v>67</v>
      </c>
      <c r="Z294" t="s">
        <v>72</v>
      </c>
    </row>
    <row r="295" spans="1:26" x14ac:dyDescent="0.35">
      <c r="A295" t="s">
        <v>655</v>
      </c>
      <c r="B295" t="s">
        <v>2</v>
      </c>
      <c r="C295" t="s">
        <v>11</v>
      </c>
      <c r="D295">
        <v>24.03</v>
      </c>
      <c r="E295">
        <v>6.33</v>
      </c>
      <c r="F295">
        <v>27.42</v>
      </c>
      <c r="G295">
        <v>186.99</v>
      </c>
      <c r="H295">
        <v>88.69</v>
      </c>
      <c r="I295">
        <v>6.3</v>
      </c>
      <c r="J295" t="s">
        <v>80</v>
      </c>
      <c r="K295" t="s">
        <v>18</v>
      </c>
      <c r="L295">
        <v>41.63</v>
      </c>
      <c r="M295" s="5">
        <v>45365</v>
      </c>
      <c r="N295" s="5">
        <v>45505</v>
      </c>
      <c r="O295" s="5" t="str">
        <f>TEXT(Table1[[#This Row],[harvest_date]],"mmmm")</f>
        <v>August</v>
      </c>
      <c r="P295">
        <v>140</v>
      </c>
      <c r="Q295">
        <v>5920.82</v>
      </c>
      <c r="R295" t="s">
        <v>656</v>
      </c>
      <c r="S295" s="5">
        <v>45452</v>
      </c>
      <c r="T295">
        <v>23.613171999999999</v>
      </c>
      <c r="U295">
        <v>74.723085999999995</v>
      </c>
      <c r="V295">
        <v>0.7</v>
      </c>
      <c r="W295" t="s">
        <v>32</v>
      </c>
      <c r="X295">
        <v>140</v>
      </c>
      <c r="Y295" t="s">
        <v>67</v>
      </c>
      <c r="Z295" t="s">
        <v>82</v>
      </c>
    </row>
    <row r="296" spans="1:26" x14ac:dyDescent="0.35">
      <c r="A296" t="s">
        <v>657</v>
      </c>
      <c r="B296" t="s">
        <v>2</v>
      </c>
      <c r="C296" t="s">
        <v>11</v>
      </c>
      <c r="D296">
        <v>14</v>
      </c>
      <c r="E296">
        <v>6.69</v>
      </c>
      <c r="F296">
        <v>21.51</v>
      </c>
      <c r="G296">
        <v>74.41</v>
      </c>
      <c r="H296">
        <v>62.26</v>
      </c>
      <c r="I296">
        <v>5.85</v>
      </c>
      <c r="J296" t="s">
        <v>32</v>
      </c>
      <c r="K296" t="s">
        <v>18</v>
      </c>
      <c r="L296">
        <v>31.92</v>
      </c>
      <c r="M296" s="5">
        <v>45378</v>
      </c>
      <c r="N296" s="5">
        <v>45506</v>
      </c>
      <c r="O296" s="5" t="str">
        <f>TEXT(Table1[[#This Row],[harvest_date]],"mmmm")</f>
        <v>August</v>
      </c>
      <c r="P296">
        <v>128</v>
      </c>
      <c r="Q296">
        <v>5085.37</v>
      </c>
      <c r="R296" t="s">
        <v>658</v>
      </c>
      <c r="S296" s="5">
        <v>45475</v>
      </c>
      <c r="T296">
        <v>18.185206000000001</v>
      </c>
      <c r="U296">
        <v>82.899782000000002</v>
      </c>
      <c r="V296">
        <v>0.34</v>
      </c>
      <c r="W296" t="s">
        <v>30</v>
      </c>
      <c r="X296">
        <v>128</v>
      </c>
      <c r="Y296" t="s">
        <v>67</v>
      </c>
      <c r="Z296" t="s">
        <v>72</v>
      </c>
    </row>
    <row r="297" spans="1:26" x14ac:dyDescent="0.35">
      <c r="A297" t="s">
        <v>659</v>
      </c>
      <c r="B297" t="s">
        <v>4</v>
      </c>
      <c r="C297" t="s">
        <v>12</v>
      </c>
      <c r="D297">
        <v>41.61</v>
      </c>
      <c r="E297">
        <v>6.77</v>
      </c>
      <c r="F297">
        <v>15</v>
      </c>
      <c r="G297">
        <v>86.68</v>
      </c>
      <c r="H297">
        <v>47.46</v>
      </c>
      <c r="I297">
        <v>7.19</v>
      </c>
      <c r="J297" t="s">
        <v>32</v>
      </c>
      <c r="K297" t="s">
        <v>17</v>
      </c>
      <c r="L297">
        <v>31.01</v>
      </c>
      <c r="M297" s="5">
        <v>45298</v>
      </c>
      <c r="N297" s="5">
        <v>45431</v>
      </c>
      <c r="O297" s="5" t="str">
        <f>TEXT(Table1[[#This Row],[harvest_date]],"mmmm")</f>
        <v>May</v>
      </c>
      <c r="P297">
        <v>133</v>
      </c>
      <c r="Q297">
        <v>5509.7</v>
      </c>
      <c r="R297" t="s">
        <v>660</v>
      </c>
      <c r="S297" s="5">
        <v>45374</v>
      </c>
      <c r="T297">
        <v>24.256910000000001</v>
      </c>
      <c r="U297">
        <v>88.264084999999994</v>
      </c>
      <c r="V297">
        <v>0.48</v>
      </c>
      <c r="W297" t="s">
        <v>33</v>
      </c>
      <c r="X297">
        <v>133</v>
      </c>
      <c r="Y297" t="s">
        <v>67</v>
      </c>
      <c r="Z297" t="s">
        <v>72</v>
      </c>
    </row>
    <row r="298" spans="1:26" x14ac:dyDescent="0.35">
      <c r="A298" t="s">
        <v>661</v>
      </c>
      <c r="B298" t="s">
        <v>1</v>
      </c>
      <c r="C298" t="s">
        <v>13</v>
      </c>
      <c r="D298">
        <v>30.4</v>
      </c>
      <c r="E298">
        <v>6.72</v>
      </c>
      <c r="F298">
        <v>25.21</v>
      </c>
      <c r="G298">
        <v>261.91000000000003</v>
      </c>
      <c r="H298">
        <v>82.63</v>
      </c>
      <c r="I298">
        <v>4.37</v>
      </c>
      <c r="J298" t="s">
        <v>69</v>
      </c>
      <c r="K298" t="s">
        <v>18</v>
      </c>
      <c r="L298">
        <v>36.65</v>
      </c>
      <c r="M298" s="5">
        <v>45326</v>
      </c>
      <c r="N298" s="5">
        <v>45471</v>
      </c>
      <c r="O298" s="5" t="str">
        <f>TEXT(Table1[[#This Row],[harvest_date]],"mmmm")</f>
        <v>June</v>
      </c>
      <c r="P298">
        <v>145</v>
      </c>
      <c r="Q298">
        <v>3128.84</v>
      </c>
      <c r="R298" t="s">
        <v>662</v>
      </c>
      <c r="S298" s="5">
        <v>45333</v>
      </c>
      <c r="T298">
        <v>15.881029</v>
      </c>
      <c r="U298">
        <v>84.044438</v>
      </c>
      <c r="V298">
        <v>0.54</v>
      </c>
      <c r="W298" t="s">
        <v>31</v>
      </c>
      <c r="X298">
        <v>145</v>
      </c>
      <c r="Y298" t="s">
        <v>62</v>
      </c>
      <c r="Z298" t="s">
        <v>72</v>
      </c>
    </row>
    <row r="299" spans="1:26" x14ac:dyDescent="0.35">
      <c r="A299" t="s">
        <v>663</v>
      </c>
      <c r="B299" t="s">
        <v>5</v>
      </c>
      <c r="C299" t="s">
        <v>11</v>
      </c>
      <c r="D299">
        <v>23.35</v>
      </c>
      <c r="E299">
        <v>6.59</v>
      </c>
      <c r="F299">
        <v>28.25</v>
      </c>
      <c r="G299">
        <v>168.72</v>
      </c>
      <c r="H299">
        <v>49.41</v>
      </c>
      <c r="I299">
        <v>6.31</v>
      </c>
      <c r="J299" t="s">
        <v>80</v>
      </c>
      <c r="K299" t="s">
        <v>19</v>
      </c>
      <c r="L299">
        <v>11.94</v>
      </c>
      <c r="M299" s="5">
        <v>45356</v>
      </c>
      <c r="N299" s="5">
        <v>45454</v>
      </c>
      <c r="O299" s="5" t="str">
        <f>TEXT(Table1[[#This Row],[harvest_date]],"mmmm")</f>
        <v>June</v>
      </c>
      <c r="P299">
        <v>98</v>
      </c>
      <c r="Q299">
        <v>2046.41</v>
      </c>
      <c r="R299" t="s">
        <v>664</v>
      </c>
      <c r="S299" s="5">
        <v>45438</v>
      </c>
      <c r="T299">
        <v>10.392695</v>
      </c>
      <c r="U299">
        <v>84.426784999999995</v>
      </c>
      <c r="V299">
        <v>0.59</v>
      </c>
      <c r="W299" t="s">
        <v>33</v>
      </c>
      <c r="X299">
        <v>98</v>
      </c>
      <c r="Y299" t="s">
        <v>71</v>
      </c>
      <c r="Z299" t="s">
        <v>63</v>
      </c>
    </row>
    <row r="300" spans="1:26" x14ac:dyDescent="0.35">
      <c r="A300" t="s">
        <v>665</v>
      </c>
      <c r="B300" t="s">
        <v>4</v>
      </c>
      <c r="C300" t="s">
        <v>13</v>
      </c>
      <c r="D300">
        <v>14.8</v>
      </c>
      <c r="E300">
        <v>7.11</v>
      </c>
      <c r="F300">
        <v>32.200000000000003</v>
      </c>
      <c r="G300">
        <v>273.39999999999998</v>
      </c>
      <c r="H300">
        <v>74.77</v>
      </c>
      <c r="I300">
        <v>9.58</v>
      </c>
      <c r="J300" t="s">
        <v>65</v>
      </c>
      <c r="K300" t="s">
        <v>19</v>
      </c>
      <c r="L300">
        <v>27.92</v>
      </c>
      <c r="M300" s="5">
        <v>45378</v>
      </c>
      <c r="N300" s="5">
        <v>45496</v>
      </c>
      <c r="O300" s="5" t="str">
        <f>TEXT(Table1[[#This Row],[harvest_date]],"mmmm")</f>
        <v>July</v>
      </c>
      <c r="P300">
        <v>118</v>
      </c>
      <c r="Q300">
        <v>3538.86</v>
      </c>
      <c r="R300" t="s">
        <v>666</v>
      </c>
      <c r="S300" s="5">
        <v>45406</v>
      </c>
      <c r="T300">
        <v>14.644776</v>
      </c>
      <c r="U300">
        <v>82.091464999999999</v>
      </c>
      <c r="V300">
        <v>0.65</v>
      </c>
      <c r="W300" t="s">
        <v>30</v>
      </c>
      <c r="X300">
        <v>118</v>
      </c>
      <c r="Y300" t="s">
        <v>62</v>
      </c>
      <c r="Z300" t="s">
        <v>72</v>
      </c>
    </row>
    <row r="301" spans="1:26" x14ac:dyDescent="0.35">
      <c r="A301" t="s">
        <v>667</v>
      </c>
      <c r="B301" t="s">
        <v>2</v>
      </c>
      <c r="C301" t="s">
        <v>14</v>
      </c>
      <c r="D301">
        <v>24.38</v>
      </c>
      <c r="E301">
        <v>6.59</v>
      </c>
      <c r="F301">
        <v>22.34</v>
      </c>
      <c r="G301">
        <v>294.56</v>
      </c>
      <c r="H301">
        <v>68.41</v>
      </c>
      <c r="I301">
        <v>8.23</v>
      </c>
      <c r="J301" t="s">
        <v>69</v>
      </c>
      <c r="K301" t="s">
        <v>17</v>
      </c>
      <c r="L301">
        <v>26.67</v>
      </c>
      <c r="M301" s="5">
        <v>45354</v>
      </c>
      <c r="N301" s="5">
        <v>45453</v>
      </c>
      <c r="O301" s="5" t="str">
        <f>TEXT(Table1[[#This Row],[harvest_date]],"mmmm")</f>
        <v>June</v>
      </c>
      <c r="P301">
        <v>99</v>
      </c>
      <c r="Q301">
        <v>4920.74</v>
      </c>
      <c r="R301" t="s">
        <v>668</v>
      </c>
      <c r="S301" s="5">
        <v>45421</v>
      </c>
      <c r="T301">
        <v>34.589477000000002</v>
      </c>
      <c r="U301">
        <v>89.673367999999996</v>
      </c>
      <c r="V301">
        <v>0.77</v>
      </c>
      <c r="W301" t="s">
        <v>33</v>
      </c>
      <c r="X301">
        <v>99</v>
      </c>
      <c r="Y301" t="s">
        <v>62</v>
      </c>
      <c r="Z301" t="s">
        <v>72</v>
      </c>
    </row>
    <row r="302" spans="1:26" x14ac:dyDescent="0.35">
      <c r="A302" t="s">
        <v>669</v>
      </c>
      <c r="B302" t="s">
        <v>2</v>
      </c>
      <c r="C302" t="s">
        <v>13</v>
      </c>
      <c r="D302">
        <v>28.32</v>
      </c>
      <c r="E302">
        <v>6.72</v>
      </c>
      <c r="F302">
        <v>19.899999999999999</v>
      </c>
      <c r="G302">
        <v>207.67</v>
      </c>
      <c r="H302">
        <v>73.19</v>
      </c>
      <c r="I302">
        <v>8.01</v>
      </c>
      <c r="J302" t="s">
        <v>80</v>
      </c>
      <c r="K302" t="s">
        <v>17</v>
      </c>
      <c r="L302">
        <v>7.37</v>
      </c>
      <c r="M302" s="5">
        <v>45340</v>
      </c>
      <c r="N302" s="5">
        <v>45479</v>
      </c>
      <c r="O302" s="5" t="str">
        <f>TEXT(Table1[[#This Row],[harvest_date]],"mmmm")</f>
        <v>July</v>
      </c>
      <c r="P302">
        <v>139</v>
      </c>
      <c r="Q302">
        <v>2043.13</v>
      </c>
      <c r="R302" t="s">
        <v>670</v>
      </c>
      <c r="S302" s="5">
        <v>45456</v>
      </c>
      <c r="T302">
        <v>22.816578</v>
      </c>
      <c r="U302">
        <v>79.384647999999999</v>
      </c>
      <c r="V302">
        <v>0.74</v>
      </c>
      <c r="W302" t="s">
        <v>33</v>
      </c>
      <c r="X302">
        <v>139</v>
      </c>
      <c r="Y302" t="s">
        <v>71</v>
      </c>
      <c r="Z302" t="s">
        <v>63</v>
      </c>
    </row>
    <row r="303" spans="1:26" x14ac:dyDescent="0.35">
      <c r="A303" t="s">
        <v>671</v>
      </c>
      <c r="B303" t="s">
        <v>1</v>
      </c>
      <c r="C303" t="s">
        <v>14</v>
      </c>
      <c r="D303">
        <v>20.12</v>
      </c>
      <c r="E303">
        <v>5.57</v>
      </c>
      <c r="F303">
        <v>33.46</v>
      </c>
      <c r="G303">
        <v>237.36</v>
      </c>
      <c r="H303">
        <v>76.349999999999994</v>
      </c>
      <c r="I303">
        <v>7.38</v>
      </c>
      <c r="J303" t="s">
        <v>69</v>
      </c>
      <c r="K303" t="s">
        <v>17</v>
      </c>
      <c r="L303">
        <v>26.29</v>
      </c>
      <c r="M303" s="5">
        <v>45310</v>
      </c>
      <c r="N303" s="5">
        <v>45403</v>
      </c>
      <c r="O303" s="5" t="str">
        <f>TEXT(Table1[[#This Row],[harvest_date]],"mmmm")</f>
        <v>April</v>
      </c>
      <c r="P303">
        <v>93</v>
      </c>
      <c r="Q303">
        <v>4625.28</v>
      </c>
      <c r="R303" t="s">
        <v>672</v>
      </c>
      <c r="S303" s="5">
        <v>45347</v>
      </c>
      <c r="T303">
        <v>30.222394000000001</v>
      </c>
      <c r="U303">
        <v>82.486339999999998</v>
      </c>
      <c r="V303">
        <v>0.47</v>
      </c>
      <c r="W303" t="s">
        <v>32</v>
      </c>
      <c r="X303">
        <v>93</v>
      </c>
      <c r="Y303" t="s">
        <v>62</v>
      </c>
      <c r="Z303" t="s">
        <v>72</v>
      </c>
    </row>
    <row r="304" spans="1:26" x14ac:dyDescent="0.35">
      <c r="A304" t="s">
        <v>673</v>
      </c>
      <c r="B304" t="s">
        <v>4</v>
      </c>
      <c r="C304" t="s">
        <v>12</v>
      </c>
      <c r="D304">
        <v>12.69</v>
      </c>
      <c r="E304">
        <v>7.07</v>
      </c>
      <c r="F304">
        <v>20.04</v>
      </c>
      <c r="G304">
        <v>203.95</v>
      </c>
      <c r="H304">
        <v>53.76</v>
      </c>
      <c r="I304">
        <v>5.54</v>
      </c>
      <c r="J304" t="s">
        <v>69</v>
      </c>
      <c r="K304" t="s">
        <v>17</v>
      </c>
      <c r="L304">
        <v>12.86</v>
      </c>
      <c r="M304" s="5">
        <v>45375</v>
      </c>
      <c r="N304" s="5">
        <v>45474</v>
      </c>
      <c r="O304" s="5" t="str">
        <f>TEXT(Table1[[#This Row],[harvest_date]],"mmmm")</f>
        <v>July</v>
      </c>
      <c r="P304">
        <v>99</v>
      </c>
      <c r="Q304">
        <v>4636.62</v>
      </c>
      <c r="R304" t="s">
        <v>674</v>
      </c>
      <c r="S304" s="5">
        <v>45422</v>
      </c>
      <c r="T304">
        <v>30.196017000000001</v>
      </c>
      <c r="U304">
        <v>75.225052000000005</v>
      </c>
      <c r="V304">
        <v>0.72</v>
      </c>
      <c r="W304" t="s">
        <v>33</v>
      </c>
      <c r="X304">
        <v>99</v>
      </c>
      <c r="Y304" t="s">
        <v>62</v>
      </c>
      <c r="Z304" t="s">
        <v>63</v>
      </c>
    </row>
    <row r="305" spans="1:26" x14ac:dyDescent="0.35">
      <c r="A305" t="s">
        <v>675</v>
      </c>
      <c r="B305" t="s">
        <v>4</v>
      </c>
      <c r="C305" t="s">
        <v>12</v>
      </c>
      <c r="D305">
        <v>40.17</v>
      </c>
      <c r="E305">
        <v>6.19</v>
      </c>
      <c r="F305">
        <v>16.690000000000001</v>
      </c>
      <c r="G305">
        <v>86.27</v>
      </c>
      <c r="H305">
        <v>86.7</v>
      </c>
      <c r="I305">
        <v>4.92</v>
      </c>
      <c r="J305" t="s">
        <v>32</v>
      </c>
      <c r="K305" t="s">
        <v>19</v>
      </c>
      <c r="L305">
        <v>39.67</v>
      </c>
      <c r="M305" s="5">
        <v>45313</v>
      </c>
      <c r="N305" s="5">
        <v>45431</v>
      </c>
      <c r="O305" s="5" t="str">
        <f>TEXT(Table1[[#This Row],[harvest_date]],"mmmm")</f>
        <v>May</v>
      </c>
      <c r="P305">
        <v>118</v>
      </c>
      <c r="Q305">
        <v>4904</v>
      </c>
      <c r="R305" t="s">
        <v>676</v>
      </c>
      <c r="S305" s="5">
        <v>45334</v>
      </c>
      <c r="T305">
        <v>15.271419</v>
      </c>
      <c r="U305">
        <v>84.687222000000006</v>
      </c>
      <c r="V305">
        <v>0.51</v>
      </c>
      <c r="W305" t="s">
        <v>31</v>
      </c>
      <c r="X305">
        <v>118</v>
      </c>
      <c r="Y305" t="s">
        <v>62</v>
      </c>
      <c r="Z305" t="s">
        <v>82</v>
      </c>
    </row>
    <row r="306" spans="1:26" x14ac:dyDescent="0.35">
      <c r="A306" t="s">
        <v>677</v>
      </c>
      <c r="B306" t="s">
        <v>3</v>
      </c>
      <c r="C306" t="s">
        <v>13</v>
      </c>
      <c r="D306">
        <v>15.87</v>
      </c>
      <c r="E306">
        <v>6.3</v>
      </c>
      <c r="F306">
        <v>21.03</v>
      </c>
      <c r="G306">
        <v>236.54</v>
      </c>
      <c r="H306">
        <v>77.62</v>
      </c>
      <c r="I306">
        <v>7.2</v>
      </c>
      <c r="J306" t="s">
        <v>32</v>
      </c>
      <c r="K306" t="s">
        <v>17</v>
      </c>
      <c r="L306">
        <v>36.75</v>
      </c>
      <c r="M306" s="5">
        <v>45331</v>
      </c>
      <c r="N306" s="5">
        <v>45430</v>
      </c>
      <c r="O306" s="5" t="str">
        <f>TEXT(Table1[[#This Row],[harvest_date]],"mmmm")</f>
        <v>May</v>
      </c>
      <c r="P306">
        <v>99</v>
      </c>
      <c r="Q306">
        <v>4121.7700000000004</v>
      </c>
      <c r="R306" t="s">
        <v>678</v>
      </c>
      <c r="S306" s="5">
        <v>45386</v>
      </c>
      <c r="T306">
        <v>10.296576</v>
      </c>
      <c r="U306">
        <v>88.544450999999995</v>
      </c>
      <c r="V306">
        <v>0.56999999999999995</v>
      </c>
      <c r="W306" t="s">
        <v>31</v>
      </c>
      <c r="X306">
        <v>99</v>
      </c>
      <c r="Y306" t="s">
        <v>62</v>
      </c>
      <c r="Z306" t="s">
        <v>72</v>
      </c>
    </row>
    <row r="307" spans="1:26" x14ac:dyDescent="0.35">
      <c r="A307" t="s">
        <v>679</v>
      </c>
      <c r="B307" t="s">
        <v>2</v>
      </c>
      <c r="C307" t="s">
        <v>13</v>
      </c>
      <c r="D307">
        <v>13.41</v>
      </c>
      <c r="E307">
        <v>6.56</v>
      </c>
      <c r="F307">
        <v>22.08</v>
      </c>
      <c r="G307">
        <v>261.06</v>
      </c>
      <c r="H307">
        <v>70.52</v>
      </c>
      <c r="I307">
        <v>7.91</v>
      </c>
      <c r="J307" t="s">
        <v>80</v>
      </c>
      <c r="K307" t="s">
        <v>19</v>
      </c>
      <c r="L307">
        <v>17.16</v>
      </c>
      <c r="M307" s="5">
        <v>45300</v>
      </c>
      <c r="N307" s="5">
        <v>45431</v>
      </c>
      <c r="O307" s="5" t="str">
        <f>TEXT(Table1[[#This Row],[harvest_date]],"mmmm")</f>
        <v>May</v>
      </c>
      <c r="P307">
        <v>131</v>
      </c>
      <c r="Q307">
        <v>4336.71</v>
      </c>
      <c r="R307" t="s">
        <v>680</v>
      </c>
      <c r="S307" s="5">
        <v>45418</v>
      </c>
      <c r="T307">
        <v>29.328775</v>
      </c>
      <c r="U307">
        <v>84.981818000000004</v>
      </c>
      <c r="V307">
        <v>0.74</v>
      </c>
      <c r="W307" t="s">
        <v>30</v>
      </c>
      <c r="X307">
        <v>131</v>
      </c>
      <c r="Y307" t="s">
        <v>62</v>
      </c>
      <c r="Z307" t="s">
        <v>72</v>
      </c>
    </row>
    <row r="308" spans="1:26" x14ac:dyDescent="0.35">
      <c r="A308" t="s">
        <v>681</v>
      </c>
      <c r="B308" t="s">
        <v>2</v>
      </c>
      <c r="C308" t="s">
        <v>14</v>
      </c>
      <c r="D308">
        <v>33.72</v>
      </c>
      <c r="E308">
        <v>7.49</v>
      </c>
      <c r="F308">
        <v>21.27</v>
      </c>
      <c r="G308">
        <v>52.64</v>
      </c>
      <c r="H308">
        <v>40.42</v>
      </c>
      <c r="I308">
        <v>4.41</v>
      </c>
      <c r="J308" t="s">
        <v>32</v>
      </c>
      <c r="K308" t="s">
        <v>18</v>
      </c>
      <c r="L308">
        <v>28.64</v>
      </c>
      <c r="M308" s="5">
        <v>45366</v>
      </c>
      <c r="N308" s="5">
        <v>45478</v>
      </c>
      <c r="O308" s="5" t="str">
        <f>TEXT(Table1[[#This Row],[harvest_date]],"mmmm")</f>
        <v>July</v>
      </c>
      <c r="P308">
        <v>112</v>
      </c>
      <c r="Q308">
        <v>2877.67</v>
      </c>
      <c r="R308" t="s">
        <v>682</v>
      </c>
      <c r="S308" s="5">
        <v>45402</v>
      </c>
      <c r="T308">
        <v>16.297402999999999</v>
      </c>
      <c r="U308">
        <v>70.680835000000002</v>
      </c>
      <c r="V308">
        <v>0.67</v>
      </c>
      <c r="W308" t="s">
        <v>32</v>
      </c>
      <c r="X308">
        <v>112</v>
      </c>
      <c r="Y308" t="s">
        <v>71</v>
      </c>
      <c r="Z308" t="s">
        <v>72</v>
      </c>
    </row>
    <row r="309" spans="1:26" x14ac:dyDescent="0.35">
      <c r="A309" t="s">
        <v>683</v>
      </c>
      <c r="B309" t="s">
        <v>2</v>
      </c>
      <c r="C309" t="s">
        <v>10</v>
      </c>
      <c r="D309">
        <v>43.27</v>
      </c>
      <c r="E309">
        <v>6.78</v>
      </c>
      <c r="F309">
        <v>29.16</v>
      </c>
      <c r="G309">
        <v>79.989999999999995</v>
      </c>
      <c r="H309">
        <v>82.82</v>
      </c>
      <c r="I309">
        <v>4.78</v>
      </c>
      <c r="J309" t="s">
        <v>65</v>
      </c>
      <c r="K309" t="s">
        <v>18</v>
      </c>
      <c r="L309">
        <v>36.299999999999997</v>
      </c>
      <c r="M309" s="5">
        <v>45332</v>
      </c>
      <c r="N309" s="5">
        <v>45451</v>
      </c>
      <c r="O309" s="5" t="str">
        <f>TEXT(Table1[[#This Row],[harvest_date]],"mmmm")</f>
        <v>June</v>
      </c>
      <c r="P309">
        <v>119</v>
      </c>
      <c r="Q309">
        <v>4641.91</v>
      </c>
      <c r="R309" t="s">
        <v>684</v>
      </c>
      <c r="S309" s="5">
        <v>45341</v>
      </c>
      <c r="T309">
        <v>25.969512999999999</v>
      </c>
      <c r="U309">
        <v>88.453907999999998</v>
      </c>
      <c r="V309">
        <v>0.47</v>
      </c>
      <c r="W309" t="s">
        <v>33</v>
      </c>
      <c r="X309">
        <v>119</v>
      </c>
      <c r="Y309" t="s">
        <v>62</v>
      </c>
      <c r="Z309" t="s">
        <v>72</v>
      </c>
    </row>
    <row r="310" spans="1:26" x14ac:dyDescent="0.35">
      <c r="A310" t="s">
        <v>685</v>
      </c>
      <c r="B310" t="s">
        <v>1</v>
      </c>
      <c r="C310" t="s">
        <v>14</v>
      </c>
      <c r="D310">
        <v>15.67</v>
      </c>
      <c r="E310">
        <v>5.65</v>
      </c>
      <c r="F310">
        <v>30.54</v>
      </c>
      <c r="G310">
        <v>145.69999999999999</v>
      </c>
      <c r="H310">
        <v>56.63</v>
      </c>
      <c r="I310">
        <v>4.3600000000000003</v>
      </c>
      <c r="J310" t="s">
        <v>80</v>
      </c>
      <c r="K310" t="s">
        <v>18</v>
      </c>
      <c r="L310">
        <v>24.83</v>
      </c>
      <c r="M310" s="5">
        <v>45329</v>
      </c>
      <c r="N310" s="5">
        <v>45458</v>
      </c>
      <c r="O310" s="5" t="str">
        <f>TEXT(Table1[[#This Row],[harvest_date]],"mmmm")</f>
        <v>June</v>
      </c>
      <c r="P310">
        <v>129</v>
      </c>
      <c r="Q310">
        <v>3570.54</v>
      </c>
      <c r="R310" t="s">
        <v>686</v>
      </c>
      <c r="S310" s="5">
        <v>45454</v>
      </c>
      <c r="T310">
        <v>12.710762000000001</v>
      </c>
      <c r="U310">
        <v>80.812642999999994</v>
      </c>
      <c r="V310">
        <v>0.56000000000000005</v>
      </c>
      <c r="W310" t="s">
        <v>32</v>
      </c>
      <c r="X310">
        <v>129</v>
      </c>
      <c r="Y310" t="s">
        <v>62</v>
      </c>
      <c r="Z310" t="s">
        <v>72</v>
      </c>
    </row>
    <row r="311" spans="1:26" x14ac:dyDescent="0.35">
      <c r="A311" t="s">
        <v>687</v>
      </c>
      <c r="B311" t="s">
        <v>5</v>
      </c>
      <c r="C311" t="s">
        <v>14</v>
      </c>
      <c r="D311">
        <v>13.62</v>
      </c>
      <c r="E311">
        <v>5.65</v>
      </c>
      <c r="F311">
        <v>26.43</v>
      </c>
      <c r="G311">
        <v>112.65</v>
      </c>
      <c r="H311">
        <v>62.29</v>
      </c>
      <c r="I311">
        <v>9.3800000000000008</v>
      </c>
      <c r="J311" t="s">
        <v>65</v>
      </c>
      <c r="K311" t="s">
        <v>17</v>
      </c>
      <c r="L311">
        <v>33.82</v>
      </c>
      <c r="M311" s="5">
        <v>45313</v>
      </c>
      <c r="N311" s="5">
        <v>45427</v>
      </c>
      <c r="O311" s="5" t="str">
        <f>TEXT(Table1[[#This Row],[harvest_date]],"mmmm")</f>
        <v>May</v>
      </c>
      <c r="P311">
        <v>114</v>
      </c>
      <c r="Q311">
        <v>3065.75</v>
      </c>
      <c r="R311" t="s">
        <v>688</v>
      </c>
      <c r="S311" s="5">
        <v>45402</v>
      </c>
      <c r="T311">
        <v>18.245771999999999</v>
      </c>
      <c r="U311">
        <v>77.826606999999996</v>
      </c>
      <c r="V311">
        <v>0.3</v>
      </c>
      <c r="W311" t="s">
        <v>33</v>
      </c>
      <c r="X311">
        <v>114</v>
      </c>
      <c r="Y311" t="s">
        <v>62</v>
      </c>
      <c r="Z311" t="s">
        <v>72</v>
      </c>
    </row>
    <row r="312" spans="1:26" x14ac:dyDescent="0.35">
      <c r="A312" t="s">
        <v>689</v>
      </c>
      <c r="B312" t="s">
        <v>5</v>
      </c>
      <c r="C312" t="s">
        <v>11</v>
      </c>
      <c r="D312">
        <v>24.14</v>
      </c>
      <c r="E312">
        <v>6.96</v>
      </c>
      <c r="F312">
        <v>31.25</v>
      </c>
      <c r="G312">
        <v>67.52</v>
      </c>
      <c r="H312">
        <v>51.29</v>
      </c>
      <c r="I312">
        <v>6.31</v>
      </c>
      <c r="J312" t="s">
        <v>32</v>
      </c>
      <c r="K312" t="s">
        <v>18</v>
      </c>
      <c r="L312">
        <v>30.53</v>
      </c>
      <c r="M312" s="5">
        <v>45333</v>
      </c>
      <c r="N312" s="5">
        <v>45466</v>
      </c>
      <c r="O312" s="5" t="str">
        <f>TEXT(Table1[[#This Row],[harvest_date]],"mmmm")</f>
        <v>June</v>
      </c>
      <c r="P312">
        <v>133</v>
      </c>
      <c r="Q312">
        <v>3211.31</v>
      </c>
      <c r="R312" t="s">
        <v>690</v>
      </c>
      <c r="S312" s="5">
        <v>45347</v>
      </c>
      <c r="T312">
        <v>25.806812999999998</v>
      </c>
      <c r="U312">
        <v>89.176478000000003</v>
      </c>
      <c r="V312">
        <v>0.35</v>
      </c>
      <c r="W312" t="s">
        <v>31</v>
      </c>
      <c r="X312">
        <v>133</v>
      </c>
      <c r="Y312" t="s">
        <v>62</v>
      </c>
      <c r="Z312" t="s">
        <v>72</v>
      </c>
    </row>
    <row r="313" spans="1:26" x14ac:dyDescent="0.35">
      <c r="A313" t="s">
        <v>691</v>
      </c>
      <c r="B313" t="s">
        <v>3</v>
      </c>
      <c r="C313" t="s">
        <v>11</v>
      </c>
      <c r="D313">
        <v>36.619999999999997</v>
      </c>
      <c r="E313">
        <v>6.08</v>
      </c>
      <c r="F313">
        <v>19.059999999999999</v>
      </c>
      <c r="G313">
        <v>188.62</v>
      </c>
      <c r="H313">
        <v>88.38</v>
      </c>
      <c r="I313">
        <v>7.96</v>
      </c>
      <c r="J313" t="s">
        <v>80</v>
      </c>
      <c r="K313" t="s">
        <v>17</v>
      </c>
      <c r="L313">
        <v>22.55</v>
      </c>
      <c r="M313" s="5">
        <v>45312</v>
      </c>
      <c r="N313" s="5">
        <v>45446</v>
      </c>
      <c r="O313" s="5" t="str">
        <f>TEXT(Table1[[#This Row],[harvest_date]],"mmmm")</f>
        <v>June</v>
      </c>
      <c r="P313">
        <v>134</v>
      </c>
      <c r="Q313">
        <v>3437.04</v>
      </c>
      <c r="R313" t="s">
        <v>692</v>
      </c>
      <c r="S313" s="5">
        <v>45333</v>
      </c>
      <c r="T313">
        <v>32.130353999999997</v>
      </c>
      <c r="U313">
        <v>78.759675000000001</v>
      </c>
      <c r="V313">
        <v>0.41</v>
      </c>
      <c r="W313" t="s">
        <v>32</v>
      </c>
      <c r="X313">
        <v>134</v>
      </c>
      <c r="Y313" t="s">
        <v>62</v>
      </c>
      <c r="Z313" t="s">
        <v>72</v>
      </c>
    </row>
    <row r="314" spans="1:26" x14ac:dyDescent="0.35">
      <c r="A314" t="s">
        <v>693</v>
      </c>
      <c r="B314" t="s">
        <v>4</v>
      </c>
      <c r="C314" t="s">
        <v>13</v>
      </c>
      <c r="D314">
        <v>35.19</v>
      </c>
      <c r="E314">
        <v>6.69</v>
      </c>
      <c r="F314">
        <v>24.78</v>
      </c>
      <c r="G314">
        <v>65.75</v>
      </c>
      <c r="H314">
        <v>67.03</v>
      </c>
      <c r="I314">
        <v>5.85</v>
      </c>
      <c r="J314" t="s">
        <v>32</v>
      </c>
      <c r="K314" t="s">
        <v>18</v>
      </c>
      <c r="L314">
        <v>6.67</v>
      </c>
      <c r="M314" s="5">
        <v>45302</v>
      </c>
      <c r="N314" s="5">
        <v>45442</v>
      </c>
      <c r="O314" s="5" t="str">
        <f>TEXT(Table1[[#This Row],[harvest_date]],"mmmm")</f>
        <v>May</v>
      </c>
      <c r="P314">
        <v>140</v>
      </c>
      <c r="Q314">
        <v>4884.05</v>
      </c>
      <c r="R314" t="s">
        <v>694</v>
      </c>
      <c r="S314" s="5">
        <v>45405</v>
      </c>
      <c r="T314">
        <v>12.954677999999999</v>
      </c>
      <c r="U314">
        <v>86.142073999999994</v>
      </c>
      <c r="V314">
        <v>0.7</v>
      </c>
      <c r="W314" t="s">
        <v>33</v>
      </c>
      <c r="X314">
        <v>140</v>
      </c>
      <c r="Y314" t="s">
        <v>62</v>
      </c>
      <c r="Z314" t="s">
        <v>63</v>
      </c>
    </row>
    <row r="315" spans="1:26" x14ac:dyDescent="0.35">
      <c r="A315" t="s">
        <v>695</v>
      </c>
      <c r="B315" t="s">
        <v>2</v>
      </c>
      <c r="C315" t="s">
        <v>10</v>
      </c>
      <c r="D315">
        <v>35.94</v>
      </c>
      <c r="E315">
        <v>5.97</v>
      </c>
      <c r="F315">
        <v>16.440000000000001</v>
      </c>
      <c r="G315">
        <v>233.86</v>
      </c>
      <c r="H315">
        <v>64.44</v>
      </c>
      <c r="I315">
        <v>4.1100000000000003</v>
      </c>
      <c r="J315" t="s">
        <v>69</v>
      </c>
      <c r="K315" t="s">
        <v>18</v>
      </c>
      <c r="L315">
        <v>36.56</v>
      </c>
      <c r="M315" s="5">
        <v>45292</v>
      </c>
      <c r="N315" s="5">
        <v>45393</v>
      </c>
      <c r="O315" s="5" t="str">
        <f>TEXT(Table1[[#This Row],[harvest_date]],"mmmm")</f>
        <v>April</v>
      </c>
      <c r="P315">
        <v>101</v>
      </c>
      <c r="Q315">
        <v>4530.6499999999996</v>
      </c>
      <c r="R315" t="s">
        <v>696</v>
      </c>
      <c r="S315" s="5">
        <v>45331</v>
      </c>
      <c r="T315">
        <v>30.518481000000001</v>
      </c>
      <c r="U315">
        <v>71.945845000000006</v>
      </c>
      <c r="V315">
        <v>0.67</v>
      </c>
      <c r="W315" t="s">
        <v>32</v>
      </c>
      <c r="X315">
        <v>101</v>
      </c>
      <c r="Y315" t="s">
        <v>62</v>
      </c>
      <c r="Z315" t="s">
        <v>72</v>
      </c>
    </row>
    <row r="316" spans="1:26" x14ac:dyDescent="0.35">
      <c r="A316" t="s">
        <v>697</v>
      </c>
      <c r="B316" t="s">
        <v>3</v>
      </c>
      <c r="C316" t="s">
        <v>13</v>
      </c>
      <c r="D316">
        <v>27.4</v>
      </c>
      <c r="E316">
        <v>7.1</v>
      </c>
      <c r="F316">
        <v>19.41</v>
      </c>
      <c r="G316">
        <v>251.11</v>
      </c>
      <c r="H316">
        <v>61.31</v>
      </c>
      <c r="I316">
        <v>8.8699999999999992</v>
      </c>
      <c r="J316" t="s">
        <v>32</v>
      </c>
      <c r="K316" t="s">
        <v>19</v>
      </c>
      <c r="L316">
        <v>10.44</v>
      </c>
      <c r="M316" s="5">
        <v>45370</v>
      </c>
      <c r="N316" s="5">
        <v>45494</v>
      </c>
      <c r="O316" s="5" t="str">
        <f>TEXT(Table1[[#This Row],[harvest_date]],"mmmm")</f>
        <v>July</v>
      </c>
      <c r="P316">
        <v>124</v>
      </c>
      <c r="Q316">
        <v>2549.3200000000002</v>
      </c>
      <c r="R316" t="s">
        <v>698</v>
      </c>
      <c r="S316" s="5">
        <v>45477</v>
      </c>
      <c r="T316">
        <v>34.117310000000003</v>
      </c>
      <c r="U316">
        <v>74.264636999999993</v>
      </c>
      <c r="V316">
        <v>0.33</v>
      </c>
      <c r="W316" t="s">
        <v>30</v>
      </c>
      <c r="X316">
        <v>124</v>
      </c>
      <c r="Y316" t="s">
        <v>71</v>
      </c>
      <c r="Z316" t="s">
        <v>63</v>
      </c>
    </row>
    <row r="317" spans="1:26" x14ac:dyDescent="0.35">
      <c r="A317" t="s">
        <v>699</v>
      </c>
      <c r="B317" t="s">
        <v>1</v>
      </c>
      <c r="C317" t="s">
        <v>13</v>
      </c>
      <c r="D317">
        <v>14.23</v>
      </c>
      <c r="E317">
        <v>5.78</v>
      </c>
      <c r="F317">
        <v>23.3</v>
      </c>
      <c r="G317">
        <v>224.07</v>
      </c>
      <c r="H317">
        <v>67.67</v>
      </c>
      <c r="I317">
        <v>6.63</v>
      </c>
      <c r="J317" t="s">
        <v>69</v>
      </c>
      <c r="K317" t="s">
        <v>18</v>
      </c>
      <c r="L317">
        <v>9.5</v>
      </c>
      <c r="M317" s="5">
        <v>45371</v>
      </c>
      <c r="N317" s="5">
        <v>45485</v>
      </c>
      <c r="O317" s="5" t="str">
        <f>TEXT(Table1[[#This Row],[harvest_date]],"mmmm")</f>
        <v>July</v>
      </c>
      <c r="P317">
        <v>114</v>
      </c>
      <c r="Q317">
        <v>5110.6499999999996</v>
      </c>
      <c r="R317" t="s">
        <v>700</v>
      </c>
      <c r="S317" s="5">
        <v>45373</v>
      </c>
      <c r="T317">
        <v>31.990673999999999</v>
      </c>
      <c r="U317">
        <v>71.614452</v>
      </c>
      <c r="V317">
        <v>0.3</v>
      </c>
      <c r="W317" t="s">
        <v>32</v>
      </c>
      <c r="X317">
        <v>114</v>
      </c>
      <c r="Y317" t="s">
        <v>67</v>
      </c>
      <c r="Z317" t="s">
        <v>63</v>
      </c>
    </row>
    <row r="318" spans="1:26" x14ac:dyDescent="0.35">
      <c r="A318" t="s">
        <v>701</v>
      </c>
      <c r="B318" t="s">
        <v>2</v>
      </c>
      <c r="C318" t="s">
        <v>14</v>
      </c>
      <c r="D318">
        <v>24.57</v>
      </c>
      <c r="E318">
        <v>7.11</v>
      </c>
      <c r="F318">
        <v>30.45</v>
      </c>
      <c r="G318">
        <v>223.09</v>
      </c>
      <c r="H318">
        <v>50.31</v>
      </c>
      <c r="I318">
        <v>7.84</v>
      </c>
      <c r="J318" t="s">
        <v>32</v>
      </c>
      <c r="K318" t="s">
        <v>19</v>
      </c>
      <c r="L318">
        <v>15.77</v>
      </c>
      <c r="M318" s="5">
        <v>45311</v>
      </c>
      <c r="N318" s="5">
        <v>45445</v>
      </c>
      <c r="O318" s="5" t="str">
        <f>TEXT(Table1[[#This Row],[harvest_date]],"mmmm")</f>
        <v>June</v>
      </c>
      <c r="P318">
        <v>134</v>
      </c>
      <c r="Q318">
        <v>2150.48</v>
      </c>
      <c r="R318" t="s">
        <v>702</v>
      </c>
      <c r="S318" s="5">
        <v>45357</v>
      </c>
      <c r="T318">
        <v>27.929969</v>
      </c>
      <c r="U318">
        <v>82.240995999999996</v>
      </c>
      <c r="V318">
        <v>0.35</v>
      </c>
      <c r="W318" t="s">
        <v>31</v>
      </c>
      <c r="X318">
        <v>134</v>
      </c>
      <c r="Y318" t="s">
        <v>71</v>
      </c>
      <c r="Z318" t="s">
        <v>72</v>
      </c>
    </row>
    <row r="319" spans="1:26" x14ac:dyDescent="0.35">
      <c r="A319" t="s">
        <v>703</v>
      </c>
      <c r="B319" t="s">
        <v>1</v>
      </c>
      <c r="C319" t="s">
        <v>11</v>
      </c>
      <c r="D319">
        <v>10.16</v>
      </c>
      <c r="E319">
        <v>5.97</v>
      </c>
      <c r="F319">
        <v>17.350000000000001</v>
      </c>
      <c r="G319">
        <v>182.55</v>
      </c>
      <c r="H319">
        <v>44.78</v>
      </c>
      <c r="I319">
        <v>6.17</v>
      </c>
      <c r="J319" t="s">
        <v>65</v>
      </c>
      <c r="K319" t="s">
        <v>19</v>
      </c>
      <c r="L319">
        <v>39.659999999999997</v>
      </c>
      <c r="M319" s="5">
        <v>45358</v>
      </c>
      <c r="N319" s="5">
        <v>45465</v>
      </c>
      <c r="O319" s="5" t="str">
        <f>TEXT(Table1[[#This Row],[harvest_date]],"mmmm")</f>
        <v>June</v>
      </c>
      <c r="P319">
        <v>107</v>
      </c>
      <c r="Q319">
        <v>2212.2800000000002</v>
      </c>
      <c r="R319" t="s">
        <v>704</v>
      </c>
      <c r="S319" s="5">
        <v>45372</v>
      </c>
      <c r="T319">
        <v>29.915323999999998</v>
      </c>
      <c r="U319">
        <v>83.704875000000001</v>
      </c>
      <c r="V319">
        <v>0.88</v>
      </c>
      <c r="W319" t="s">
        <v>33</v>
      </c>
      <c r="X319">
        <v>107</v>
      </c>
      <c r="Y319" t="s">
        <v>71</v>
      </c>
      <c r="Z319" t="s">
        <v>82</v>
      </c>
    </row>
    <row r="320" spans="1:26" x14ac:dyDescent="0.35">
      <c r="A320" t="s">
        <v>705</v>
      </c>
      <c r="B320" t="s">
        <v>5</v>
      </c>
      <c r="C320" t="s">
        <v>10</v>
      </c>
      <c r="D320">
        <v>15.59</v>
      </c>
      <c r="E320">
        <v>7.35</v>
      </c>
      <c r="F320">
        <v>16.079999999999998</v>
      </c>
      <c r="G320">
        <v>141.05000000000001</v>
      </c>
      <c r="H320">
        <v>50.48</v>
      </c>
      <c r="I320">
        <v>5.51</v>
      </c>
      <c r="J320" t="s">
        <v>32</v>
      </c>
      <c r="K320" t="s">
        <v>18</v>
      </c>
      <c r="L320">
        <v>9.6999999999999993</v>
      </c>
      <c r="M320" s="5">
        <v>45309</v>
      </c>
      <c r="N320" s="5">
        <v>45410</v>
      </c>
      <c r="O320" s="5" t="str">
        <f>TEXT(Table1[[#This Row],[harvest_date]],"mmmm")</f>
        <v>April</v>
      </c>
      <c r="P320">
        <v>101</v>
      </c>
      <c r="Q320">
        <v>2632.18</v>
      </c>
      <c r="R320" t="s">
        <v>706</v>
      </c>
      <c r="S320" s="5">
        <v>45312</v>
      </c>
      <c r="T320">
        <v>22.126535000000001</v>
      </c>
      <c r="U320">
        <v>72.321302000000003</v>
      </c>
      <c r="V320">
        <v>0.84</v>
      </c>
      <c r="W320" t="s">
        <v>33</v>
      </c>
      <c r="X320">
        <v>101</v>
      </c>
      <c r="Y320" t="s">
        <v>71</v>
      </c>
      <c r="Z320" t="s">
        <v>63</v>
      </c>
    </row>
    <row r="321" spans="1:26" x14ac:dyDescent="0.35">
      <c r="A321" t="s">
        <v>707</v>
      </c>
      <c r="B321" t="s">
        <v>2</v>
      </c>
      <c r="C321" t="s">
        <v>12</v>
      </c>
      <c r="D321">
        <v>21.41</v>
      </c>
      <c r="E321">
        <v>5.9</v>
      </c>
      <c r="F321">
        <v>28.54</v>
      </c>
      <c r="G321">
        <v>131.41999999999999</v>
      </c>
      <c r="H321">
        <v>78.95</v>
      </c>
      <c r="I321">
        <v>5.96</v>
      </c>
      <c r="J321" t="s">
        <v>69</v>
      </c>
      <c r="K321" t="s">
        <v>18</v>
      </c>
      <c r="L321">
        <v>38.200000000000003</v>
      </c>
      <c r="M321" s="5">
        <v>45304</v>
      </c>
      <c r="N321" s="5">
        <v>45451</v>
      </c>
      <c r="O321" s="5" t="str">
        <f>TEXT(Table1[[#This Row],[harvest_date]],"mmmm")</f>
        <v>June</v>
      </c>
      <c r="P321">
        <v>147</v>
      </c>
      <c r="Q321">
        <v>2882.65</v>
      </c>
      <c r="R321" t="s">
        <v>708</v>
      </c>
      <c r="S321" s="5">
        <v>45424</v>
      </c>
      <c r="T321">
        <v>24.627306000000001</v>
      </c>
      <c r="U321">
        <v>71.086787000000001</v>
      </c>
      <c r="V321">
        <v>0.56000000000000005</v>
      </c>
      <c r="W321" t="s">
        <v>30</v>
      </c>
      <c r="X321">
        <v>147</v>
      </c>
      <c r="Y321" t="s">
        <v>71</v>
      </c>
      <c r="Z321" t="s">
        <v>82</v>
      </c>
    </row>
    <row r="322" spans="1:26" x14ac:dyDescent="0.35">
      <c r="A322" t="s">
        <v>709</v>
      </c>
      <c r="B322" t="s">
        <v>2</v>
      </c>
      <c r="C322" t="s">
        <v>11</v>
      </c>
      <c r="D322">
        <v>16.23</v>
      </c>
      <c r="E322">
        <v>6.25</v>
      </c>
      <c r="F322">
        <v>24.15</v>
      </c>
      <c r="G322">
        <v>98.54</v>
      </c>
      <c r="H322">
        <v>57.93</v>
      </c>
      <c r="I322">
        <v>5.62</v>
      </c>
      <c r="J322" t="s">
        <v>80</v>
      </c>
      <c r="K322" t="s">
        <v>18</v>
      </c>
      <c r="L322">
        <v>6.44</v>
      </c>
      <c r="M322" s="5">
        <v>45353</v>
      </c>
      <c r="N322" s="5">
        <v>45460</v>
      </c>
      <c r="O322" s="5" t="str">
        <f>TEXT(Table1[[#This Row],[harvest_date]],"mmmm")</f>
        <v>June</v>
      </c>
      <c r="P322">
        <v>107</v>
      </c>
      <c r="Q322">
        <v>2546.0100000000002</v>
      </c>
      <c r="R322" t="s">
        <v>710</v>
      </c>
      <c r="S322" s="5">
        <v>45412</v>
      </c>
      <c r="T322">
        <v>21.464473000000002</v>
      </c>
      <c r="U322">
        <v>73.424025999999998</v>
      </c>
      <c r="V322">
        <v>0.51</v>
      </c>
      <c r="W322" t="s">
        <v>31</v>
      </c>
      <c r="X322">
        <v>107</v>
      </c>
      <c r="Y322" t="s">
        <v>71</v>
      </c>
      <c r="Z322" t="s">
        <v>63</v>
      </c>
    </row>
    <row r="323" spans="1:26" x14ac:dyDescent="0.35">
      <c r="A323" t="s">
        <v>711</v>
      </c>
      <c r="B323" t="s">
        <v>2</v>
      </c>
      <c r="C323" t="s">
        <v>10</v>
      </c>
      <c r="D323">
        <v>37.630000000000003</v>
      </c>
      <c r="E323">
        <v>6.78</v>
      </c>
      <c r="F323">
        <v>27.23</v>
      </c>
      <c r="G323">
        <v>92.48</v>
      </c>
      <c r="H323">
        <v>88.51</v>
      </c>
      <c r="I323">
        <v>9.1300000000000008</v>
      </c>
      <c r="J323" t="s">
        <v>69</v>
      </c>
      <c r="K323" t="s">
        <v>19</v>
      </c>
      <c r="L323">
        <v>43.56</v>
      </c>
      <c r="M323" s="5">
        <v>45350</v>
      </c>
      <c r="N323" s="5">
        <v>45453</v>
      </c>
      <c r="O323" s="5" t="str">
        <f>TEXT(Table1[[#This Row],[harvest_date]],"mmmm")</f>
        <v>June</v>
      </c>
      <c r="P323">
        <v>103</v>
      </c>
      <c r="Q323">
        <v>4366.32</v>
      </c>
      <c r="R323" t="s">
        <v>712</v>
      </c>
      <c r="S323" s="5">
        <v>45409</v>
      </c>
      <c r="T323">
        <v>16.979272000000002</v>
      </c>
      <c r="U323">
        <v>84.600354999999993</v>
      </c>
      <c r="V323">
        <v>0.74</v>
      </c>
      <c r="W323" t="s">
        <v>30</v>
      </c>
      <c r="X323">
        <v>103</v>
      </c>
      <c r="Y323" t="s">
        <v>62</v>
      </c>
      <c r="Z323" t="s">
        <v>82</v>
      </c>
    </row>
    <row r="324" spans="1:26" x14ac:dyDescent="0.35">
      <c r="A324" t="s">
        <v>713</v>
      </c>
      <c r="B324" t="s">
        <v>4</v>
      </c>
      <c r="C324" t="s">
        <v>14</v>
      </c>
      <c r="D324">
        <v>25.2</v>
      </c>
      <c r="E324">
        <v>5.94</v>
      </c>
      <c r="F324">
        <v>33.549999999999997</v>
      </c>
      <c r="G324">
        <v>286.56</v>
      </c>
      <c r="H324">
        <v>85.69</v>
      </c>
      <c r="I324">
        <v>9.39</v>
      </c>
      <c r="J324" t="s">
        <v>32</v>
      </c>
      <c r="K324" t="s">
        <v>18</v>
      </c>
      <c r="L324">
        <v>6.8</v>
      </c>
      <c r="M324" s="5">
        <v>45346</v>
      </c>
      <c r="N324" s="5">
        <v>45485</v>
      </c>
      <c r="O324" s="5" t="str">
        <f>TEXT(Table1[[#This Row],[harvest_date]],"mmmm")</f>
        <v>July</v>
      </c>
      <c r="P324">
        <v>139</v>
      </c>
      <c r="Q324">
        <v>4016.87</v>
      </c>
      <c r="R324" t="s">
        <v>714</v>
      </c>
      <c r="S324" s="5">
        <v>45454</v>
      </c>
      <c r="T324">
        <v>23.278043</v>
      </c>
      <c r="U324">
        <v>79.585386999999997</v>
      </c>
      <c r="V324">
        <v>0.78</v>
      </c>
      <c r="W324" t="s">
        <v>32</v>
      </c>
      <c r="X324">
        <v>139</v>
      </c>
      <c r="Y324" t="s">
        <v>62</v>
      </c>
      <c r="Z324" t="s">
        <v>63</v>
      </c>
    </row>
    <row r="325" spans="1:26" x14ac:dyDescent="0.35">
      <c r="A325" t="s">
        <v>715</v>
      </c>
      <c r="B325" t="s">
        <v>5</v>
      </c>
      <c r="C325" t="s">
        <v>11</v>
      </c>
      <c r="D325">
        <v>18.420000000000002</v>
      </c>
      <c r="E325">
        <v>6.62</v>
      </c>
      <c r="F325">
        <v>15.25</v>
      </c>
      <c r="G325">
        <v>232.95</v>
      </c>
      <c r="H325">
        <v>87.5</v>
      </c>
      <c r="I325">
        <v>4.8</v>
      </c>
      <c r="J325" t="s">
        <v>80</v>
      </c>
      <c r="K325" t="s">
        <v>18</v>
      </c>
      <c r="L325">
        <v>34.14</v>
      </c>
      <c r="M325" s="5">
        <v>45292</v>
      </c>
      <c r="N325" s="5">
        <v>45412</v>
      </c>
      <c r="O325" s="5" t="str">
        <f>TEXT(Table1[[#This Row],[harvest_date]],"mmmm")</f>
        <v>April</v>
      </c>
      <c r="P325">
        <v>120</v>
      </c>
      <c r="Q325">
        <v>4676.1400000000003</v>
      </c>
      <c r="R325" t="s">
        <v>716</v>
      </c>
      <c r="S325" s="5">
        <v>45312</v>
      </c>
      <c r="T325">
        <v>27.582612000000001</v>
      </c>
      <c r="U325">
        <v>87.158441999999994</v>
      </c>
      <c r="V325">
        <v>0.75</v>
      </c>
      <c r="W325" t="s">
        <v>32</v>
      </c>
      <c r="X325">
        <v>120</v>
      </c>
      <c r="Y325" t="s">
        <v>62</v>
      </c>
      <c r="Z325" t="s">
        <v>72</v>
      </c>
    </row>
    <row r="326" spans="1:26" x14ac:dyDescent="0.35">
      <c r="A326" t="s">
        <v>717</v>
      </c>
      <c r="B326" t="s">
        <v>5</v>
      </c>
      <c r="C326" t="s">
        <v>11</v>
      </c>
      <c r="D326">
        <v>37.01</v>
      </c>
      <c r="E326">
        <v>7.25</v>
      </c>
      <c r="F326">
        <v>23.11</v>
      </c>
      <c r="G326">
        <v>247.46</v>
      </c>
      <c r="H326">
        <v>58.52</v>
      </c>
      <c r="I326">
        <v>6.79</v>
      </c>
      <c r="J326" t="s">
        <v>69</v>
      </c>
      <c r="K326" t="s">
        <v>17</v>
      </c>
      <c r="L326">
        <v>8.18</v>
      </c>
      <c r="M326" s="5">
        <v>45362</v>
      </c>
      <c r="N326" s="5">
        <v>45485</v>
      </c>
      <c r="O326" s="5" t="str">
        <f>TEXT(Table1[[#This Row],[harvest_date]],"mmmm")</f>
        <v>July</v>
      </c>
      <c r="P326">
        <v>123</v>
      </c>
      <c r="Q326">
        <v>2130.86</v>
      </c>
      <c r="R326" t="s">
        <v>718</v>
      </c>
      <c r="S326" s="5">
        <v>45416</v>
      </c>
      <c r="T326">
        <v>28.822199999999999</v>
      </c>
      <c r="U326">
        <v>83.961100000000002</v>
      </c>
      <c r="V326">
        <v>0.67</v>
      </c>
      <c r="W326" t="s">
        <v>30</v>
      </c>
      <c r="X326">
        <v>123</v>
      </c>
      <c r="Y326" t="s">
        <v>71</v>
      </c>
      <c r="Z326" t="s">
        <v>63</v>
      </c>
    </row>
    <row r="327" spans="1:26" x14ac:dyDescent="0.35">
      <c r="A327" t="s">
        <v>719</v>
      </c>
      <c r="B327" t="s">
        <v>3</v>
      </c>
      <c r="C327" t="s">
        <v>12</v>
      </c>
      <c r="D327">
        <v>40.83</v>
      </c>
      <c r="E327">
        <v>6.97</v>
      </c>
      <c r="F327">
        <v>16.100000000000001</v>
      </c>
      <c r="G327">
        <v>286.33</v>
      </c>
      <c r="H327">
        <v>73.73</v>
      </c>
      <c r="I327">
        <v>9.33</v>
      </c>
      <c r="J327" t="s">
        <v>69</v>
      </c>
      <c r="K327" t="s">
        <v>19</v>
      </c>
      <c r="L327">
        <v>21.45</v>
      </c>
      <c r="M327" s="5">
        <v>45353</v>
      </c>
      <c r="N327" s="5">
        <v>45466</v>
      </c>
      <c r="O327" s="5" t="str">
        <f>TEXT(Table1[[#This Row],[harvest_date]],"mmmm")</f>
        <v>June</v>
      </c>
      <c r="P327">
        <v>113</v>
      </c>
      <c r="Q327">
        <v>3465.73</v>
      </c>
      <c r="R327" t="s">
        <v>720</v>
      </c>
      <c r="S327" s="5">
        <v>45435</v>
      </c>
      <c r="T327">
        <v>23.969760999999998</v>
      </c>
      <c r="U327">
        <v>71.340118000000004</v>
      </c>
      <c r="V327">
        <v>0.73</v>
      </c>
      <c r="W327" t="s">
        <v>30</v>
      </c>
      <c r="X327">
        <v>113</v>
      </c>
      <c r="Y327" t="s">
        <v>62</v>
      </c>
      <c r="Z327" t="s">
        <v>72</v>
      </c>
    </row>
    <row r="328" spans="1:26" x14ac:dyDescent="0.35">
      <c r="A328" t="s">
        <v>721</v>
      </c>
      <c r="B328" t="s">
        <v>4</v>
      </c>
      <c r="C328" t="s">
        <v>14</v>
      </c>
      <c r="D328">
        <v>18.350000000000001</v>
      </c>
      <c r="E328">
        <v>5.73</v>
      </c>
      <c r="F328">
        <v>24.57</v>
      </c>
      <c r="G328">
        <v>284.79000000000002</v>
      </c>
      <c r="H328">
        <v>69.010000000000005</v>
      </c>
      <c r="I328">
        <v>9.75</v>
      </c>
      <c r="J328" t="s">
        <v>65</v>
      </c>
      <c r="K328" t="s">
        <v>17</v>
      </c>
      <c r="L328">
        <v>39.24</v>
      </c>
      <c r="M328" s="5">
        <v>45334</v>
      </c>
      <c r="N328" s="5">
        <v>45481</v>
      </c>
      <c r="O328" s="5" t="str">
        <f>TEXT(Table1[[#This Row],[harvest_date]],"mmmm")</f>
        <v>July</v>
      </c>
      <c r="P328">
        <v>147</v>
      </c>
      <c r="Q328">
        <v>3069.43</v>
      </c>
      <c r="R328" t="s">
        <v>722</v>
      </c>
      <c r="S328" s="5">
        <v>45442</v>
      </c>
      <c r="T328">
        <v>16.928633000000001</v>
      </c>
      <c r="U328">
        <v>71.267384000000007</v>
      </c>
      <c r="V328">
        <v>0.51</v>
      </c>
      <c r="W328" t="s">
        <v>33</v>
      </c>
      <c r="X328">
        <v>147</v>
      </c>
      <c r="Y328" t="s">
        <v>62</v>
      </c>
      <c r="Z328" t="s">
        <v>82</v>
      </c>
    </row>
    <row r="329" spans="1:26" x14ac:dyDescent="0.35">
      <c r="A329" t="s">
        <v>723</v>
      </c>
      <c r="B329" t="s">
        <v>2</v>
      </c>
      <c r="C329" t="s">
        <v>12</v>
      </c>
      <c r="D329">
        <v>39.03</v>
      </c>
      <c r="E329">
        <v>6.44</v>
      </c>
      <c r="F329">
        <v>25.64</v>
      </c>
      <c r="G329">
        <v>256.33999999999997</v>
      </c>
      <c r="H329">
        <v>84.97</v>
      </c>
      <c r="I329">
        <v>6.71</v>
      </c>
      <c r="J329" t="s">
        <v>80</v>
      </c>
      <c r="K329" t="s">
        <v>17</v>
      </c>
      <c r="L329">
        <v>47.54</v>
      </c>
      <c r="M329" s="5">
        <v>45298</v>
      </c>
      <c r="N329" s="5">
        <v>45445</v>
      </c>
      <c r="O329" s="5" t="str">
        <f>TEXT(Table1[[#This Row],[harvest_date]],"mmmm")</f>
        <v>June</v>
      </c>
      <c r="P329">
        <v>147</v>
      </c>
      <c r="Q329">
        <v>5535.92</v>
      </c>
      <c r="R329" t="s">
        <v>724</v>
      </c>
      <c r="S329" s="5">
        <v>45320</v>
      </c>
      <c r="T329">
        <v>12.00426</v>
      </c>
      <c r="U329">
        <v>87.958917</v>
      </c>
      <c r="V329">
        <v>0.47</v>
      </c>
      <c r="W329" t="s">
        <v>32</v>
      </c>
      <c r="X329">
        <v>147</v>
      </c>
      <c r="Y329" t="s">
        <v>67</v>
      </c>
      <c r="Z329" t="s">
        <v>82</v>
      </c>
    </row>
    <row r="330" spans="1:26" x14ac:dyDescent="0.35">
      <c r="A330" t="s">
        <v>725</v>
      </c>
      <c r="B330" t="s">
        <v>3</v>
      </c>
      <c r="C330" t="s">
        <v>10</v>
      </c>
      <c r="D330">
        <v>19.66</v>
      </c>
      <c r="E330">
        <v>6.89</v>
      </c>
      <c r="F330">
        <v>24.93</v>
      </c>
      <c r="G330">
        <v>268.75</v>
      </c>
      <c r="H330">
        <v>66.03</v>
      </c>
      <c r="I330">
        <v>7.76</v>
      </c>
      <c r="J330" t="s">
        <v>80</v>
      </c>
      <c r="K330" t="s">
        <v>19</v>
      </c>
      <c r="L330">
        <v>48.63</v>
      </c>
      <c r="M330" s="5">
        <v>45356</v>
      </c>
      <c r="N330" s="5">
        <v>45476</v>
      </c>
      <c r="O330" s="5" t="str">
        <f>TEXT(Table1[[#This Row],[harvest_date]],"mmmm")</f>
        <v>July</v>
      </c>
      <c r="P330">
        <v>120</v>
      </c>
      <c r="Q330">
        <v>3386.8</v>
      </c>
      <c r="R330" t="s">
        <v>726</v>
      </c>
      <c r="S330" s="5">
        <v>45412</v>
      </c>
      <c r="T330">
        <v>28.442730999999998</v>
      </c>
      <c r="U330">
        <v>70.429646000000005</v>
      </c>
      <c r="V330">
        <v>0.41</v>
      </c>
      <c r="W330" t="s">
        <v>32</v>
      </c>
      <c r="X330">
        <v>120</v>
      </c>
      <c r="Y330" t="s">
        <v>62</v>
      </c>
      <c r="Z330" t="s">
        <v>82</v>
      </c>
    </row>
    <row r="331" spans="1:26" x14ac:dyDescent="0.35">
      <c r="A331" t="s">
        <v>727</v>
      </c>
      <c r="B331" t="s">
        <v>4</v>
      </c>
      <c r="C331" t="s">
        <v>12</v>
      </c>
      <c r="D331">
        <v>32.56</v>
      </c>
      <c r="E331">
        <v>6.32</v>
      </c>
      <c r="F331">
        <v>21.86</v>
      </c>
      <c r="G331">
        <v>211.51</v>
      </c>
      <c r="H331">
        <v>56.32</v>
      </c>
      <c r="I331">
        <v>7.56</v>
      </c>
      <c r="J331" t="s">
        <v>32</v>
      </c>
      <c r="K331" t="s">
        <v>19</v>
      </c>
      <c r="L331">
        <v>18.68</v>
      </c>
      <c r="M331" s="5">
        <v>45317</v>
      </c>
      <c r="N331" s="5">
        <v>45426</v>
      </c>
      <c r="O331" s="5" t="str">
        <f>TEXT(Table1[[#This Row],[harvest_date]],"mmmm")</f>
        <v>May</v>
      </c>
      <c r="P331">
        <v>109</v>
      </c>
      <c r="Q331">
        <v>2686.95</v>
      </c>
      <c r="R331" t="s">
        <v>728</v>
      </c>
      <c r="S331" s="5">
        <v>45350</v>
      </c>
      <c r="T331">
        <v>15.669548000000001</v>
      </c>
      <c r="U331">
        <v>77.438046</v>
      </c>
      <c r="V331">
        <v>0.47</v>
      </c>
      <c r="W331" t="s">
        <v>32</v>
      </c>
      <c r="X331">
        <v>109</v>
      </c>
      <c r="Y331" t="s">
        <v>71</v>
      </c>
      <c r="Z331" t="s">
        <v>72</v>
      </c>
    </row>
    <row r="332" spans="1:26" x14ac:dyDescent="0.35">
      <c r="A332" t="s">
        <v>729</v>
      </c>
      <c r="B332" t="s">
        <v>4</v>
      </c>
      <c r="C332" t="s">
        <v>14</v>
      </c>
      <c r="D332">
        <v>19.95</v>
      </c>
      <c r="E332">
        <v>7.41</v>
      </c>
      <c r="F332">
        <v>27.37</v>
      </c>
      <c r="G332">
        <v>90.2</v>
      </c>
      <c r="H332">
        <v>66.77</v>
      </c>
      <c r="I332">
        <v>5.09</v>
      </c>
      <c r="J332" t="s">
        <v>65</v>
      </c>
      <c r="K332" t="s">
        <v>17</v>
      </c>
      <c r="L332">
        <v>36.18</v>
      </c>
      <c r="M332" s="5">
        <v>45377</v>
      </c>
      <c r="N332" s="5">
        <v>45476</v>
      </c>
      <c r="O332" s="5" t="str">
        <f>TEXT(Table1[[#This Row],[harvest_date]],"mmmm")</f>
        <v>July</v>
      </c>
      <c r="P332">
        <v>99</v>
      </c>
      <c r="Q332">
        <v>2645.02</v>
      </c>
      <c r="R332" t="s">
        <v>730</v>
      </c>
      <c r="S332" s="5">
        <v>45391</v>
      </c>
      <c r="T332">
        <v>11.028786</v>
      </c>
      <c r="U332">
        <v>76.332516999999996</v>
      </c>
      <c r="V332">
        <v>0.38</v>
      </c>
      <c r="W332" t="s">
        <v>31</v>
      </c>
      <c r="X332">
        <v>99</v>
      </c>
      <c r="Y332" t="s">
        <v>71</v>
      </c>
      <c r="Z332" t="s">
        <v>72</v>
      </c>
    </row>
    <row r="333" spans="1:26" x14ac:dyDescent="0.35">
      <c r="A333" t="s">
        <v>731</v>
      </c>
      <c r="B333" t="s">
        <v>1</v>
      </c>
      <c r="C333" t="s">
        <v>10</v>
      </c>
      <c r="D333">
        <v>17.18</v>
      </c>
      <c r="E333">
        <v>6.91</v>
      </c>
      <c r="F333">
        <v>28.31</v>
      </c>
      <c r="G333">
        <v>294.51</v>
      </c>
      <c r="H333">
        <v>47.4</v>
      </c>
      <c r="I333">
        <v>6.69</v>
      </c>
      <c r="J333" t="s">
        <v>65</v>
      </c>
      <c r="K333" t="s">
        <v>17</v>
      </c>
      <c r="L333">
        <v>18.57</v>
      </c>
      <c r="M333" s="5">
        <v>45304</v>
      </c>
      <c r="N333" s="5">
        <v>45453</v>
      </c>
      <c r="O333" s="5" t="str">
        <f>TEXT(Table1[[#This Row],[harvest_date]],"mmmm")</f>
        <v>June</v>
      </c>
      <c r="P333">
        <v>149</v>
      </c>
      <c r="Q333">
        <v>3997.67</v>
      </c>
      <c r="R333" t="s">
        <v>732</v>
      </c>
      <c r="S333" s="5">
        <v>45341</v>
      </c>
      <c r="T333">
        <v>33.694726000000003</v>
      </c>
      <c r="U333">
        <v>88.556225999999995</v>
      </c>
      <c r="V333">
        <v>0.39</v>
      </c>
      <c r="W333" t="s">
        <v>31</v>
      </c>
      <c r="X333">
        <v>149</v>
      </c>
      <c r="Y333" t="s">
        <v>62</v>
      </c>
      <c r="Z333" t="s">
        <v>72</v>
      </c>
    </row>
    <row r="334" spans="1:26" x14ac:dyDescent="0.35">
      <c r="A334" t="s">
        <v>733</v>
      </c>
      <c r="B334" t="s">
        <v>1</v>
      </c>
      <c r="C334" t="s">
        <v>11</v>
      </c>
      <c r="D334">
        <v>41.36</v>
      </c>
      <c r="E334">
        <v>7.44</v>
      </c>
      <c r="F334">
        <v>30.08</v>
      </c>
      <c r="G334">
        <v>298.52</v>
      </c>
      <c r="H334">
        <v>73.34</v>
      </c>
      <c r="I334">
        <v>8.8000000000000007</v>
      </c>
      <c r="J334" t="s">
        <v>32</v>
      </c>
      <c r="K334" t="s">
        <v>19</v>
      </c>
      <c r="L334">
        <v>36.01</v>
      </c>
      <c r="M334" s="5">
        <v>45367</v>
      </c>
      <c r="N334" s="5">
        <v>45514</v>
      </c>
      <c r="O334" s="5" t="str">
        <f>TEXT(Table1[[#This Row],[harvest_date]],"mmmm")</f>
        <v>August</v>
      </c>
      <c r="P334">
        <v>147</v>
      </c>
      <c r="Q334">
        <v>2160.3200000000002</v>
      </c>
      <c r="R334" t="s">
        <v>734</v>
      </c>
      <c r="S334" s="5">
        <v>45508</v>
      </c>
      <c r="T334">
        <v>12.921901999999999</v>
      </c>
      <c r="U334">
        <v>70.495912000000004</v>
      </c>
      <c r="V334">
        <v>0.67</v>
      </c>
      <c r="W334" t="s">
        <v>30</v>
      </c>
      <c r="X334">
        <v>147</v>
      </c>
      <c r="Y334" t="s">
        <v>71</v>
      </c>
      <c r="Z334" t="s">
        <v>72</v>
      </c>
    </row>
    <row r="335" spans="1:26" x14ac:dyDescent="0.35">
      <c r="A335" t="s">
        <v>735</v>
      </c>
      <c r="B335" t="s">
        <v>5</v>
      </c>
      <c r="C335" t="s">
        <v>14</v>
      </c>
      <c r="D335">
        <v>13.24</v>
      </c>
      <c r="E335">
        <v>5.61</v>
      </c>
      <c r="F335">
        <v>27.83</v>
      </c>
      <c r="G335">
        <v>195.86</v>
      </c>
      <c r="H335">
        <v>51.11</v>
      </c>
      <c r="I335">
        <v>9.61</v>
      </c>
      <c r="J335" t="s">
        <v>80</v>
      </c>
      <c r="K335" t="s">
        <v>18</v>
      </c>
      <c r="L335">
        <v>6.01</v>
      </c>
      <c r="M335" s="5">
        <v>45379</v>
      </c>
      <c r="N335" s="5">
        <v>45497</v>
      </c>
      <c r="O335" s="5" t="str">
        <f>TEXT(Table1[[#This Row],[harvest_date]],"mmmm")</f>
        <v>July</v>
      </c>
      <c r="P335">
        <v>118</v>
      </c>
      <c r="Q335">
        <v>4708.25</v>
      </c>
      <c r="R335" t="s">
        <v>736</v>
      </c>
      <c r="S335" s="5">
        <v>45390</v>
      </c>
      <c r="T335">
        <v>34.395988000000003</v>
      </c>
      <c r="U335">
        <v>77.888471999999993</v>
      </c>
      <c r="V335">
        <v>0.59</v>
      </c>
      <c r="W335" t="s">
        <v>32</v>
      </c>
      <c r="X335">
        <v>118</v>
      </c>
      <c r="Y335" t="s">
        <v>62</v>
      </c>
      <c r="Z335" t="s">
        <v>63</v>
      </c>
    </row>
    <row r="336" spans="1:26" x14ac:dyDescent="0.35">
      <c r="A336" t="s">
        <v>737</v>
      </c>
      <c r="B336" t="s">
        <v>1</v>
      </c>
      <c r="C336" t="s">
        <v>11</v>
      </c>
      <c r="D336">
        <v>15.18</v>
      </c>
      <c r="E336">
        <v>7.21</v>
      </c>
      <c r="F336">
        <v>22.39</v>
      </c>
      <c r="G336">
        <v>143.21</v>
      </c>
      <c r="H336">
        <v>54.23</v>
      </c>
      <c r="I336">
        <v>6.11</v>
      </c>
      <c r="J336" t="s">
        <v>32</v>
      </c>
      <c r="K336" t="s">
        <v>17</v>
      </c>
      <c r="L336">
        <v>8.94</v>
      </c>
      <c r="M336" s="5">
        <v>45366</v>
      </c>
      <c r="N336" s="5">
        <v>45503</v>
      </c>
      <c r="O336" s="5" t="str">
        <f>TEXT(Table1[[#This Row],[harvest_date]],"mmmm")</f>
        <v>July</v>
      </c>
      <c r="P336">
        <v>137</v>
      </c>
      <c r="Q336">
        <v>5970.39</v>
      </c>
      <c r="R336" t="s">
        <v>738</v>
      </c>
      <c r="S336" s="5">
        <v>45479</v>
      </c>
      <c r="T336">
        <v>17.21585</v>
      </c>
      <c r="U336">
        <v>86.113455999999999</v>
      </c>
      <c r="V336">
        <v>0.88</v>
      </c>
      <c r="W336" t="s">
        <v>33</v>
      </c>
      <c r="X336">
        <v>137</v>
      </c>
      <c r="Y336" t="s">
        <v>67</v>
      </c>
      <c r="Z336" t="s">
        <v>63</v>
      </c>
    </row>
    <row r="337" spans="1:26" x14ac:dyDescent="0.35">
      <c r="A337" t="s">
        <v>739</v>
      </c>
      <c r="B337" t="s">
        <v>5</v>
      </c>
      <c r="C337" t="s">
        <v>10</v>
      </c>
      <c r="D337">
        <v>39.24</v>
      </c>
      <c r="E337">
        <v>6.7</v>
      </c>
      <c r="F337">
        <v>17.87</v>
      </c>
      <c r="G337">
        <v>125.81</v>
      </c>
      <c r="H337">
        <v>89.42</v>
      </c>
      <c r="I337">
        <v>7.15</v>
      </c>
      <c r="J337" t="s">
        <v>80</v>
      </c>
      <c r="K337" t="s">
        <v>18</v>
      </c>
      <c r="L337">
        <v>46.99</v>
      </c>
      <c r="M337" s="5">
        <v>45376</v>
      </c>
      <c r="N337" s="5">
        <v>45490</v>
      </c>
      <c r="O337" s="5" t="str">
        <f>TEXT(Table1[[#This Row],[harvest_date]],"mmmm")</f>
        <v>July</v>
      </c>
      <c r="P337">
        <v>114</v>
      </c>
      <c r="Q337">
        <v>2353.79</v>
      </c>
      <c r="R337" t="s">
        <v>740</v>
      </c>
      <c r="S337" s="5">
        <v>45428</v>
      </c>
      <c r="T337">
        <v>25.97015</v>
      </c>
      <c r="U337">
        <v>75.466577000000001</v>
      </c>
      <c r="V337">
        <v>0.4</v>
      </c>
      <c r="W337" t="s">
        <v>33</v>
      </c>
      <c r="X337">
        <v>114</v>
      </c>
      <c r="Y337" t="s">
        <v>71</v>
      </c>
      <c r="Z337" t="s">
        <v>82</v>
      </c>
    </row>
    <row r="338" spans="1:26" x14ac:dyDescent="0.35">
      <c r="A338" t="s">
        <v>741</v>
      </c>
      <c r="B338" t="s">
        <v>2</v>
      </c>
      <c r="C338" t="s">
        <v>10</v>
      </c>
      <c r="D338">
        <v>16.97</v>
      </c>
      <c r="E338">
        <v>7.16</v>
      </c>
      <c r="F338">
        <v>20.79</v>
      </c>
      <c r="G338">
        <v>172.65</v>
      </c>
      <c r="H338">
        <v>81.14</v>
      </c>
      <c r="I338">
        <v>5.81</v>
      </c>
      <c r="J338" t="s">
        <v>80</v>
      </c>
      <c r="K338" t="s">
        <v>19</v>
      </c>
      <c r="L338">
        <v>30.17</v>
      </c>
      <c r="M338" s="5">
        <v>45330</v>
      </c>
      <c r="N338" s="5">
        <v>45421</v>
      </c>
      <c r="O338" s="5" t="str">
        <f>TEXT(Table1[[#This Row],[harvest_date]],"mmmm")</f>
        <v>May</v>
      </c>
      <c r="P338">
        <v>91</v>
      </c>
      <c r="Q338">
        <v>5164.88</v>
      </c>
      <c r="R338" t="s">
        <v>742</v>
      </c>
      <c r="S338" s="5">
        <v>45349</v>
      </c>
      <c r="T338">
        <v>16.566925999999999</v>
      </c>
      <c r="U338">
        <v>89.120531999999997</v>
      </c>
      <c r="V338">
        <v>0.8</v>
      </c>
      <c r="W338" t="s">
        <v>33</v>
      </c>
      <c r="X338">
        <v>91</v>
      </c>
      <c r="Y338" t="s">
        <v>67</v>
      </c>
      <c r="Z338" t="s">
        <v>72</v>
      </c>
    </row>
    <row r="339" spans="1:26" x14ac:dyDescent="0.35">
      <c r="A339" t="s">
        <v>743</v>
      </c>
      <c r="B339" t="s">
        <v>3</v>
      </c>
      <c r="C339" t="s">
        <v>14</v>
      </c>
      <c r="D339">
        <v>24.6</v>
      </c>
      <c r="E339">
        <v>6.48</v>
      </c>
      <c r="F339">
        <v>28.76</v>
      </c>
      <c r="G339">
        <v>111.19</v>
      </c>
      <c r="H339">
        <v>45.97</v>
      </c>
      <c r="I339">
        <v>5.66</v>
      </c>
      <c r="J339" t="s">
        <v>69</v>
      </c>
      <c r="K339" t="s">
        <v>17</v>
      </c>
      <c r="L339">
        <v>38.549999999999997</v>
      </c>
      <c r="M339" s="5">
        <v>45367</v>
      </c>
      <c r="N339" s="5">
        <v>45493</v>
      </c>
      <c r="O339" s="5" t="str">
        <f>TEXT(Table1[[#This Row],[harvest_date]],"mmmm")</f>
        <v>July</v>
      </c>
      <c r="P339">
        <v>126</v>
      </c>
      <c r="Q339">
        <v>3744.27</v>
      </c>
      <c r="R339" t="s">
        <v>744</v>
      </c>
      <c r="S339" s="5">
        <v>45400</v>
      </c>
      <c r="T339">
        <v>25.699901000000001</v>
      </c>
      <c r="U339">
        <v>79.520814000000001</v>
      </c>
      <c r="V339">
        <v>0.72</v>
      </c>
      <c r="W339" t="s">
        <v>32</v>
      </c>
      <c r="X339">
        <v>126</v>
      </c>
      <c r="Y339" t="s">
        <v>62</v>
      </c>
      <c r="Z339" t="s">
        <v>82</v>
      </c>
    </row>
    <row r="340" spans="1:26" x14ac:dyDescent="0.35">
      <c r="A340" t="s">
        <v>745</v>
      </c>
      <c r="B340" t="s">
        <v>1</v>
      </c>
      <c r="C340" t="s">
        <v>12</v>
      </c>
      <c r="D340">
        <v>35.65</v>
      </c>
      <c r="E340">
        <v>5.54</v>
      </c>
      <c r="F340">
        <v>20.190000000000001</v>
      </c>
      <c r="G340">
        <v>195.41</v>
      </c>
      <c r="H340">
        <v>47.31</v>
      </c>
      <c r="I340">
        <v>6.77</v>
      </c>
      <c r="J340" t="s">
        <v>65</v>
      </c>
      <c r="K340" t="s">
        <v>19</v>
      </c>
      <c r="L340">
        <v>12.35</v>
      </c>
      <c r="M340" s="5">
        <v>45334</v>
      </c>
      <c r="N340" s="5">
        <v>45450</v>
      </c>
      <c r="O340" s="5" t="str">
        <f>TEXT(Table1[[#This Row],[harvest_date]],"mmmm")</f>
        <v>June</v>
      </c>
      <c r="P340">
        <v>116</v>
      </c>
      <c r="Q340">
        <v>4544.99</v>
      </c>
      <c r="R340" t="s">
        <v>746</v>
      </c>
      <c r="S340" s="5">
        <v>45379</v>
      </c>
      <c r="T340">
        <v>11.217873000000001</v>
      </c>
      <c r="U340">
        <v>75.833281999999997</v>
      </c>
      <c r="V340">
        <v>0.68</v>
      </c>
      <c r="W340" t="s">
        <v>32</v>
      </c>
      <c r="X340">
        <v>116</v>
      </c>
      <c r="Y340" t="s">
        <v>62</v>
      </c>
      <c r="Z340" t="s">
        <v>63</v>
      </c>
    </row>
    <row r="341" spans="1:26" x14ac:dyDescent="0.35">
      <c r="A341" t="s">
        <v>747</v>
      </c>
      <c r="B341" t="s">
        <v>2</v>
      </c>
      <c r="C341" t="s">
        <v>10</v>
      </c>
      <c r="D341">
        <v>36.83</v>
      </c>
      <c r="E341">
        <v>5.87</v>
      </c>
      <c r="F341">
        <v>16.89</v>
      </c>
      <c r="G341">
        <v>238.16</v>
      </c>
      <c r="H341">
        <v>67.19</v>
      </c>
      <c r="I341">
        <v>9.23</v>
      </c>
      <c r="J341" t="s">
        <v>80</v>
      </c>
      <c r="K341" t="s">
        <v>19</v>
      </c>
      <c r="L341">
        <v>35.840000000000003</v>
      </c>
      <c r="M341" s="5">
        <v>45363</v>
      </c>
      <c r="N341" s="5">
        <v>45459</v>
      </c>
      <c r="O341" s="5" t="str">
        <f>TEXT(Table1[[#This Row],[harvest_date]],"mmmm")</f>
        <v>June</v>
      </c>
      <c r="P341">
        <v>96</v>
      </c>
      <c r="Q341">
        <v>4137.68</v>
      </c>
      <c r="R341" t="s">
        <v>748</v>
      </c>
      <c r="S341" s="5">
        <v>45408</v>
      </c>
      <c r="T341">
        <v>30.58287</v>
      </c>
      <c r="U341">
        <v>70.257953000000001</v>
      </c>
      <c r="V341">
        <v>0.61</v>
      </c>
      <c r="W341" t="s">
        <v>31</v>
      </c>
      <c r="X341">
        <v>96</v>
      </c>
      <c r="Y341" t="s">
        <v>62</v>
      </c>
      <c r="Z341" t="s">
        <v>72</v>
      </c>
    </row>
    <row r="342" spans="1:26" x14ac:dyDescent="0.35">
      <c r="A342" t="s">
        <v>749</v>
      </c>
      <c r="B342" t="s">
        <v>5</v>
      </c>
      <c r="C342" t="s">
        <v>11</v>
      </c>
      <c r="D342">
        <v>21.91</v>
      </c>
      <c r="E342">
        <v>7.32</v>
      </c>
      <c r="F342">
        <v>17.05</v>
      </c>
      <c r="G342">
        <v>88.64</v>
      </c>
      <c r="H342">
        <v>51.06</v>
      </c>
      <c r="I342">
        <v>5.13</v>
      </c>
      <c r="J342" t="s">
        <v>69</v>
      </c>
      <c r="K342" t="s">
        <v>19</v>
      </c>
      <c r="L342">
        <v>25.72</v>
      </c>
      <c r="M342" s="5">
        <v>45295</v>
      </c>
      <c r="N342" s="5">
        <v>45437</v>
      </c>
      <c r="O342" s="5" t="str">
        <f>TEXT(Table1[[#This Row],[harvest_date]],"mmmm")</f>
        <v>May</v>
      </c>
      <c r="P342">
        <v>142</v>
      </c>
      <c r="Q342">
        <v>2524.9299999999998</v>
      </c>
      <c r="R342" t="s">
        <v>750</v>
      </c>
      <c r="S342" s="5">
        <v>45299</v>
      </c>
      <c r="T342">
        <v>21.987956000000001</v>
      </c>
      <c r="U342">
        <v>76.231469000000004</v>
      </c>
      <c r="V342">
        <v>0.52</v>
      </c>
      <c r="W342" t="s">
        <v>33</v>
      </c>
      <c r="X342">
        <v>142</v>
      </c>
      <c r="Y342" t="s">
        <v>71</v>
      </c>
      <c r="Z342" t="s">
        <v>72</v>
      </c>
    </row>
    <row r="343" spans="1:26" x14ac:dyDescent="0.35">
      <c r="A343" t="s">
        <v>751</v>
      </c>
      <c r="B343" t="s">
        <v>2</v>
      </c>
      <c r="C343" t="s">
        <v>12</v>
      </c>
      <c r="D343">
        <v>36.729999999999997</v>
      </c>
      <c r="E343">
        <v>6.18</v>
      </c>
      <c r="F343">
        <v>29.2</v>
      </c>
      <c r="G343">
        <v>57.19</v>
      </c>
      <c r="H343">
        <v>80.73</v>
      </c>
      <c r="I343">
        <v>5.33</v>
      </c>
      <c r="J343" t="s">
        <v>65</v>
      </c>
      <c r="K343" t="s">
        <v>17</v>
      </c>
      <c r="L343">
        <v>15.2</v>
      </c>
      <c r="M343" s="5">
        <v>45298</v>
      </c>
      <c r="N343" s="5">
        <v>45396</v>
      </c>
      <c r="O343" s="5" t="str">
        <f>TEXT(Table1[[#This Row],[harvest_date]],"mmmm")</f>
        <v>April</v>
      </c>
      <c r="P343">
        <v>98</v>
      </c>
      <c r="Q343">
        <v>5924.44</v>
      </c>
      <c r="R343" t="s">
        <v>752</v>
      </c>
      <c r="S343" s="5">
        <v>45352</v>
      </c>
      <c r="T343">
        <v>27.270453</v>
      </c>
      <c r="U343">
        <v>85.680593999999999</v>
      </c>
      <c r="V343">
        <v>0.35</v>
      </c>
      <c r="W343" t="s">
        <v>33</v>
      </c>
      <c r="X343">
        <v>98</v>
      </c>
      <c r="Y343" t="s">
        <v>67</v>
      </c>
      <c r="Z343" t="s">
        <v>72</v>
      </c>
    </row>
    <row r="344" spans="1:26" x14ac:dyDescent="0.35">
      <c r="A344" t="s">
        <v>753</v>
      </c>
      <c r="B344" t="s">
        <v>5</v>
      </c>
      <c r="C344" t="s">
        <v>13</v>
      </c>
      <c r="D344">
        <v>16.87</v>
      </c>
      <c r="E344">
        <v>5.57</v>
      </c>
      <c r="F344">
        <v>28.2</v>
      </c>
      <c r="G344">
        <v>198.29</v>
      </c>
      <c r="H344">
        <v>63.45</v>
      </c>
      <c r="I344">
        <v>9.4499999999999993</v>
      </c>
      <c r="J344" t="s">
        <v>69</v>
      </c>
      <c r="K344" t="s">
        <v>18</v>
      </c>
      <c r="L344">
        <v>18.57</v>
      </c>
      <c r="M344" s="5">
        <v>45316</v>
      </c>
      <c r="N344" s="5">
        <v>45412</v>
      </c>
      <c r="O344" s="5" t="str">
        <f>TEXT(Table1[[#This Row],[harvest_date]],"mmmm")</f>
        <v>April</v>
      </c>
      <c r="P344">
        <v>96</v>
      </c>
      <c r="Q344">
        <v>5129.4799999999996</v>
      </c>
      <c r="R344" t="s">
        <v>754</v>
      </c>
      <c r="S344" s="5">
        <v>45393</v>
      </c>
      <c r="T344">
        <v>15.13503</v>
      </c>
      <c r="U344">
        <v>88.023497000000006</v>
      </c>
      <c r="V344">
        <v>0.41</v>
      </c>
      <c r="W344" t="s">
        <v>31</v>
      </c>
      <c r="X344">
        <v>96</v>
      </c>
      <c r="Y344" t="s">
        <v>67</v>
      </c>
      <c r="Z344" t="s">
        <v>72</v>
      </c>
    </row>
    <row r="345" spans="1:26" x14ac:dyDescent="0.35">
      <c r="A345" t="s">
        <v>755</v>
      </c>
      <c r="B345" t="s">
        <v>3</v>
      </c>
      <c r="C345" t="s">
        <v>13</v>
      </c>
      <c r="D345">
        <v>15.09</v>
      </c>
      <c r="E345">
        <v>6.99</v>
      </c>
      <c r="F345">
        <v>20.55</v>
      </c>
      <c r="G345">
        <v>194.94</v>
      </c>
      <c r="H345">
        <v>57.61</v>
      </c>
      <c r="I345">
        <v>9.1300000000000008</v>
      </c>
      <c r="J345" t="s">
        <v>65</v>
      </c>
      <c r="K345" t="s">
        <v>17</v>
      </c>
      <c r="L345">
        <v>30.66</v>
      </c>
      <c r="M345" s="5">
        <v>45318</v>
      </c>
      <c r="N345" s="5">
        <v>45445</v>
      </c>
      <c r="O345" s="5" t="str">
        <f>TEXT(Table1[[#This Row],[harvest_date]],"mmmm")</f>
        <v>June</v>
      </c>
      <c r="P345">
        <v>127</v>
      </c>
      <c r="Q345">
        <v>5052.9799999999996</v>
      </c>
      <c r="R345" t="s">
        <v>756</v>
      </c>
      <c r="S345" s="5">
        <v>45373</v>
      </c>
      <c r="T345">
        <v>27.895291</v>
      </c>
      <c r="U345">
        <v>89.285275999999996</v>
      </c>
      <c r="V345">
        <v>0.4</v>
      </c>
      <c r="W345" t="s">
        <v>32</v>
      </c>
      <c r="X345">
        <v>127</v>
      </c>
      <c r="Y345" t="s">
        <v>62</v>
      </c>
      <c r="Z345" t="s">
        <v>72</v>
      </c>
    </row>
    <row r="346" spans="1:26" x14ac:dyDescent="0.35">
      <c r="A346" t="s">
        <v>757</v>
      </c>
      <c r="B346" t="s">
        <v>3</v>
      </c>
      <c r="C346" t="s">
        <v>10</v>
      </c>
      <c r="D346">
        <v>42.22</v>
      </c>
      <c r="E346">
        <v>7.2</v>
      </c>
      <c r="F346">
        <v>24.49</v>
      </c>
      <c r="G346">
        <v>224.53</v>
      </c>
      <c r="H346">
        <v>49.26</v>
      </c>
      <c r="I346">
        <v>8.0399999999999991</v>
      </c>
      <c r="J346" t="s">
        <v>69</v>
      </c>
      <c r="K346" t="s">
        <v>18</v>
      </c>
      <c r="L346">
        <v>42.56</v>
      </c>
      <c r="M346" s="5">
        <v>45336</v>
      </c>
      <c r="N346" s="5">
        <v>45439</v>
      </c>
      <c r="O346" s="5" t="str">
        <f>TEXT(Table1[[#This Row],[harvest_date]],"mmmm")</f>
        <v>May</v>
      </c>
      <c r="P346">
        <v>103</v>
      </c>
      <c r="Q346">
        <v>4057</v>
      </c>
      <c r="R346" t="s">
        <v>758</v>
      </c>
      <c r="S346" s="5">
        <v>45388</v>
      </c>
      <c r="T346">
        <v>12.821137</v>
      </c>
      <c r="U346">
        <v>89.692255000000003</v>
      </c>
      <c r="V346">
        <v>0.37</v>
      </c>
      <c r="W346" t="s">
        <v>32</v>
      </c>
      <c r="X346">
        <v>103</v>
      </c>
      <c r="Y346" t="s">
        <v>62</v>
      </c>
      <c r="Z346" t="s">
        <v>82</v>
      </c>
    </row>
    <row r="347" spans="1:26" x14ac:dyDescent="0.35">
      <c r="A347" t="s">
        <v>759</v>
      </c>
      <c r="B347" t="s">
        <v>2</v>
      </c>
      <c r="C347" t="s">
        <v>10</v>
      </c>
      <c r="D347">
        <v>27.35</v>
      </c>
      <c r="E347">
        <v>6.22</v>
      </c>
      <c r="F347">
        <v>20.77</v>
      </c>
      <c r="G347">
        <v>230.53</v>
      </c>
      <c r="H347">
        <v>44.11</v>
      </c>
      <c r="I347">
        <v>6.96</v>
      </c>
      <c r="J347" t="s">
        <v>32</v>
      </c>
      <c r="K347" t="s">
        <v>19</v>
      </c>
      <c r="L347">
        <v>25.56</v>
      </c>
      <c r="M347" s="5">
        <v>45361</v>
      </c>
      <c r="N347" s="5">
        <v>45494</v>
      </c>
      <c r="O347" s="5" t="str">
        <f>TEXT(Table1[[#This Row],[harvest_date]],"mmmm")</f>
        <v>July</v>
      </c>
      <c r="P347">
        <v>133</v>
      </c>
      <c r="Q347">
        <v>5904.72</v>
      </c>
      <c r="R347" t="s">
        <v>760</v>
      </c>
      <c r="S347" s="5">
        <v>45474</v>
      </c>
      <c r="T347">
        <v>15.646836</v>
      </c>
      <c r="U347">
        <v>78.145644000000004</v>
      </c>
      <c r="V347">
        <v>0.89</v>
      </c>
      <c r="W347" t="s">
        <v>33</v>
      </c>
      <c r="X347">
        <v>133</v>
      </c>
      <c r="Y347" t="s">
        <v>67</v>
      </c>
      <c r="Z347" t="s">
        <v>72</v>
      </c>
    </row>
    <row r="348" spans="1:26" x14ac:dyDescent="0.35">
      <c r="A348" t="s">
        <v>761</v>
      </c>
      <c r="B348" t="s">
        <v>4</v>
      </c>
      <c r="C348" t="s">
        <v>13</v>
      </c>
      <c r="D348">
        <v>41.32</v>
      </c>
      <c r="E348">
        <v>7.1</v>
      </c>
      <c r="F348">
        <v>33.78</v>
      </c>
      <c r="G348">
        <v>141.86000000000001</v>
      </c>
      <c r="H348">
        <v>40.64</v>
      </c>
      <c r="I348">
        <v>8.0399999999999991</v>
      </c>
      <c r="J348" t="s">
        <v>69</v>
      </c>
      <c r="K348" t="s">
        <v>19</v>
      </c>
      <c r="L348">
        <v>24.71</v>
      </c>
      <c r="M348" s="5">
        <v>45373</v>
      </c>
      <c r="N348" s="5">
        <v>45468</v>
      </c>
      <c r="O348" s="5" t="str">
        <f>TEXT(Table1[[#This Row],[harvest_date]],"mmmm")</f>
        <v>June</v>
      </c>
      <c r="P348">
        <v>95</v>
      </c>
      <c r="Q348">
        <v>2476.87</v>
      </c>
      <c r="R348" t="s">
        <v>762</v>
      </c>
      <c r="S348" s="5">
        <v>45423</v>
      </c>
      <c r="T348">
        <v>20.015606999999999</v>
      </c>
      <c r="U348">
        <v>81.811144999999996</v>
      </c>
      <c r="V348">
        <v>0.36</v>
      </c>
      <c r="W348" t="s">
        <v>30</v>
      </c>
      <c r="X348">
        <v>95</v>
      </c>
      <c r="Y348" t="s">
        <v>71</v>
      </c>
      <c r="Z348" t="s">
        <v>72</v>
      </c>
    </row>
    <row r="349" spans="1:26" x14ac:dyDescent="0.35">
      <c r="A349" t="s">
        <v>763</v>
      </c>
      <c r="B349" t="s">
        <v>3</v>
      </c>
      <c r="C349" t="s">
        <v>14</v>
      </c>
      <c r="D349">
        <v>44.13</v>
      </c>
      <c r="E349">
        <v>6.18</v>
      </c>
      <c r="F349">
        <v>26.9</v>
      </c>
      <c r="G349">
        <v>297.67</v>
      </c>
      <c r="H349">
        <v>46.14</v>
      </c>
      <c r="I349">
        <v>9.0299999999999994</v>
      </c>
      <c r="J349" t="s">
        <v>32</v>
      </c>
      <c r="K349" t="s">
        <v>19</v>
      </c>
      <c r="L349">
        <v>39.42</v>
      </c>
      <c r="M349" s="5">
        <v>45370</v>
      </c>
      <c r="N349" s="5">
        <v>45477</v>
      </c>
      <c r="O349" s="5" t="str">
        <f>TEXT(Table1[[#This Row],[harvest_date]],"mmmm")</f>
        <v>July</v>
      </c>
      <c r="P349">
        <v>107</v>
      </c>
      <c r="Q349">
        <v>5025.21</v>
      </c>
      <c r="R349" t="s">
        <v>764</v>
      </c>
      <c r="S349" s="5">
        <v>45472</v>
      </c>
      <c r="T349">
        <v>26.095779</v>
      </c>
      <c r="U349">
        <v>78.004711</v>
      </c>
      <c r="V349">
        <v>0.59</v>
      </c>
      <c r="W349" t="s">
        <v>33</v>
      </c>
      <c r="X349">
        <v>107</v>
      </c>
      <c r="Y349" t="s">
        <v>62</v>
      </c>
      <c r="Z349" t="s">
        <v>82</v>
      </c>
    </row>
    <row r="350" spans="1:26" x14ac:dyDescent="0.35">
      <c r="A350" t="s">
        <v>765</v>
      </c>
      <c r="B350" t="s">
        <v>5</v>
      </c>
      <c r="C350" t="s">
        <v>12</v>
      </c>
      <c r="D350">
        <v>19.760000000000002</v>
      </c>
      <c r="E350">
        <v>7.04</v>
      </c>
      <c r="F350">
        <v>17.16</v>
      </c>
      <c r="G350">
        <v>112.67</v>
      </c>
      <c r="H350">
        <v>64.86</v>
      </c>
      <c r="I350">
        <v>7.77</v>
      </c>
      <c r="J350" t="s">
        <v>65</v>
      </c>
      <c r="K350" t="s">
        <v>18</v>
      </c>
      <c r="L350">
        <v>9.48</v>
      </c>
      <c r="M350" s="5">
        <v>45318</v>
      </c>
      <c r="N350" s="5">
        <v>45412</v>
      </c>
      <c r="O350" s="5" t="str">
        <f>TEXT(Table1[[#This Row],[harvest_date]],"mmmm")</f>
        <v>April</v>
      </c>
      <c r="P350">
        <v>94</v>
      </c>
      <c r="Q350">
        <v>3992.54</v>
      </c>
      <c r="R350" t="s">
        <v>766</v>
      </c>
      <c r="S350" s="5">
        <v>45321</v>
      </c>
      <c r="T350">
        <v>34.301814</v>
      </c>
      <c r="U350">
        <v>77.652659999999997</v>
      </c>
      <c r="V350">
        <v>0.71</v>
      </c>
      <c r="W350" t="s">
        <v>30</v>
      </c>
      <c r="X350">
        <v>94</v>
      </c>
      <c r="Y350" t="s">
        <v>62</v>
      </c>
      <c r="Z350" t="s">
        <v>63</v>
      </c>
    </row>
    <row r="351" spans="1:26" x14ac:dyDescent="0.35">
      <c r="A351" t="s">
        <v>767</v>
      </c>
      <c r="B351" t="s">
        <v>1</v>
      </c>
      <c r="C351" t="s">
        <v>12</v>
      </c>
      <c r="D351">
        <v>31.81</v>
      </c>
      <c r="E351">
        <v>7.02</v>
      </c>
      <c r="F351">
        <v>28.22</v>
      </c>
      <c r="G351">
        <v>179.99</v>
      </c>
      <c r="H351">
        <v>64.61</v>
      </c>
      <c r="I351">
        <v>6.8</v>
      </c>
      <c r="J351" t="s">
        <v>80</v>
      </c>
      <c r="K351" t="s">
        <v>17</v>
      </c>
      <c r="L351">
        <v>27.41</v>
      </c>
      <c r="M351" s="5">
        <v>45360</v>
      </c>
      <c r="N351" s="5">
        <v>45484</v>
      </c>
      <c r="O351" s="5" t="str">
        <f>TEXT(Table1[[#This Row],[harvest_date]],"mmmm")</f>
        <v>July</v>
      </c>
      <c r="P351">
        <v>124</v>
      </c>
      <c r="Q351">
        <v>3374.46</v>
      </c>
      <c r="R351" t="s">
        <v>768</v>
      </c>
      <c r="S351" s="5">
        <v>45470</v>
      </c>
      <c r="T351">
        <v>23.513224999999998</v>
      </c>
      <c r="U351">
        <v>70.353408000000002</v>
      </c>
      <c r="V351">
        <v>0.76</v>
      </c>
      <c r="W351" t="s">
        <v>33</v>
      </c>
      <c r="X351">
        <v>124</v>
      </c>
      <c r="Y351" t="s">
        <v>62</v>
      </c>
      <c r="Z351" t="s">
        <v>72</v>
      </c>
    </row>
    <row r="352" spans="1:26" x14ac:dyDescent="0.35">
      <c r="A352" t="s">
        <v>769</v>
      </c>
      <c r="B352" t="s">
        <v>3</v>
      </c>
      <c r="C352" t="s">
        <v>11</v>
      </c>
      <c r="D352">
        <v>25.75</v>
      </c>
      <c r="E352">
        <v>7.21</v>
      </c>
      <c r="F352">
        <v>23.85</v>
      </c>
      <c r="G352">
        <v>59</v>
      </c>
      <c r="H352">
        <v>48.84</v>
      </c>
      <c r="I352">
        <v>7.96</v>
      </c>
      <c r="J352" t="s">
        <v>80</v>
      </c>
      <c r="K352" t="s">
        <v>17</v>
      </c>
      <c r="L352">
        <v>12.39</v>
      </c>
      <c r="M352" s="5">
        <v>45327</v>
      </c>
      <c r="N352" s="5">
        <v>45436</v>
      </c>
      <c r="O352" s="5" t="str">
        <f>TEXT(Table1[[#This Row],[harvest_date]],"mmmm")</f>
        <v>May</v>
      </c>
      <c r="P352">
        <v>109</v>
      </c>
      <c r="Q352">
        <v>4862.8900000000003</v>
      </c>
      <c r="R352" t="s">
        <v>770</v>
      </c>
      <c r="S352" s="5">
        <v>45389</v>
      </c>
      <c r="T352">
        <v>29.100277999999999</v>
      </c>
      <c r="U352">
        <v>81.377104000000003</v>
      </c>
      <c r="V352">
        <v>0.59</v>
      </c>
      <c r="W352" t="s">
        <v>33</v>
      </c>
      <c r="X352">
        <v>109</v>
      </c>
      <c r="Y352" t="s">
        <v>62</v>
      </c>
      <c r="Z352" t="s">
        <v>63</v>
      </c>
    </row>
    <row r="353" spans="1:26" x14ac:dyDescent="0.35">
      <c r="A353" t="s">
        <v>771</v>
      </c>
      <c r="B353" t="s">
        <v>5</v>
      </c>
      <c r="C353" t="s">
        <v>12</v>
      </c>
      <c r="D353">
        <v>39.9</v>
      </c>
      <c r="E353">
        <v>6.51</v>
      </c>
      <c r="F353">
        <v>22.83</v>
      </c>
      <c r="G353">
        <v>173.67</v>
      </c>
      <c r="H353">
        <v>88.54</v>
      </c>
      <c r="I353">
        <v>7.7</v>
      </c>
      <c r="J353" t="s">
        <v>80</v>
      </c>
      <c r="K353" t="s">
        <v>19</v>
      </c>
      <c r="L353">
        <v>19.420000000000002</v>
      </c>
      <c r="M353" s="5">
        <v>45310</v>
      </c>
      <c r="N353" s="5">
        <v>45402</v>
      </c>
      <c r="O353" s="5" t="str">
        <f>TEXT(Table1[[#This Row],[harvest_date]],"mmmm")</f>
        <v>April</v>
      </c>
      <c r="P353">
        <v>92</v>
      </c>
      <c r="Q353">
        <v>2512.79</v>
      </c>
      <c r="R353" t="s">
        <v>772</v>
      </c>
      <c r="S353" s="5">
        <v>45356</v>
      </c>
      <c r="T353">
        <v>18.721920000000001</v>
      </c>
      <c r="U353">
        <v>84.841143000000002</v>
      </c>
      <c r="V353">
        <v>0.32</v>
      </c>
      <c r="W353" t="s">
        <v>31</v>
      </c>
      <c r="X353">
        <v>92</v>
      </c>
      <c r="Y353" t="s">
        <v>71</v>
      </c>
      <c r="Z353" t="s">
        <v>72</v>
      </c>
    </row>
    <row r="354" spans="1:26" x14ac:dyDescent="0.35">
      <c r="A354" t="s">
        <v>773</v>
      </c>
      <c r="B354" t="s">
        <v>5</v>
      </c>
      <c r="C354" t="s">
        <v>13</v>
      </c>
      <c r="D354">
        <v>24.99</v>
      </c>
      <c r="E354">
        <v>7.48</v>
      </c>
      <c r="F354">
        <v>23.24</v>
      </c>
      <c r="G354">
        <v>64.11</v>
      </c>
      <c r="H354">
        <v>52.21</v>
      </c>
      <c r="I354">
        <v>5.41</v>
      </c>
      <c r="J354" t="s">
        <v>80</v>
      </c>
      <c r="K354" t="s">
        <v>17</v>
      </c>
      <c r="L354">
        <v>8.82</v>
      </c>
      <c r="M354" s="5">
        <v>45354</v>
      </c>
      <c r="N354" s="5">
        <v>45499</v>
      </c>
      <c r="O354" s="5" t="str">
        <f>TEXT(Table1[[#This Row],[harvest_date]],"mmmm")</f>
        <v>July</v>
      </c>
      <c r="P354">
        <v>145</v>
      </c>
      <c r="Q354">
        <v>3219.65</v>
      </c>
      <c r="R354" t="s">
        <v>774</v>
      </c>
      <c r="S354" s="5">
        <v>45440</v>
      </c>
      <c r="T354">
        <v>14.244481</v>
      </c>
      <c r="U354">
        <v>80.768336000000005</v>
      </c>
      <c r="V354">
        <v>0.32</v>
      </c>
      <c r="W354" t="s">
        <v>33</v>
      </c>
      <c r="X354">
        <v>145</v>
      </c>
      <c r="Y354" t="s">
        <v>62</v>
      </c>
      <c r="Z354" t="s">
        <v>63</v>
      </c>
    </row>
    <row r="355" spans="1:26" x14ac:dyDescent="0.35">
      <c r="A355" t="s">
        <v>775</v>
      </c>
      <c r="B355" t="s">
        <v>2</v>
      </c>
      <c r="C355" t="s">
        <v>12</v>
      </c>
      <c r="D355">
        <v>41.55</v>
      </c>
      <c r="E355">
        <v>6.03</v>
      </c>
      <c r="F355">
        <v>28.92</v>
      </c>
      <c r="G355">
        <v>197</v>
      </c>
      <c r="H355">
        <v>89.29</v>
      </c>
      <c r="I355">
        <v>6.27</v>
      </c>
      <c r="J355" t="s">
        <v>32</v>
      </c>
      <c r="K355" t="s">
        <v>19</v>
      </c>
      <c r="L355">
        <v>30.76</v>
      </c>
      <c r="M355" s="5">
        <v>45326</v>
      </c>
      <c r="N355" s="5">
        <v>45460</v>
      </c>
      <c r="O355" s="5" t="str">
        <f>TEXT(Table1[[#This Row],[harvest_date]],"mmmm")</f>
        <v>June</v>
      </c>
      <c r="P355">
        <v>134</v>
      </c>
      <c r="Q355">
        <v>4700.45</v>
      </c>
      <c r="R355" t="s">
        <v>776</v>
      </c>
      <c r="S355" s="5">
        <v>45412</v>
      </c>
      <c r="T355">
        <v>22.418285000000001</v>
      </c>
      <c r="U355">
        <v>86.229144000000005</v>
      </c>
      <c r="V355">
        <v>0.7</v>
      </c>
      <c r="W355" t="s">
        <v>30</v>
      </c>
      <c r="X355">
        <v>134</v>
      </c>
      <c r="Y355" t="s">
        <v>62</v>
      </c>
      <c r="Z355" t="s">
        <v>72</v>
      </c>
    </row>
    <row r="356" spans="1:26" x14ac:dyDescent="0.35">
      <c r="A356" t="s">
        <v>777</v>
      </c>
      <c r="B356" t="s">
        <v>2</v>
      </c>
      <c r="C356" t="s">
        <v>14</v>
      </c>
      <c r="D356">
        <v>22.72</v>
      </c>
      <c r="E356">
        <v>6.37</v>
      </c>
      <c r="F356">
        <v>24.94</v>
      </c>
      <c r="G356">
        <v>261.83</v>
      </c>
      <c r="H356">
        <v>79.36</v>
      </c>
      <c r="I356">
        <v>9.0399999999999991</v>
      </c>
      <c r="J356" t="s">
        <v>65</v>
      </c>
      <c r="K356" t="s">
        <v>19</v>
      </c>
      <c r="L356">
        <v>16.93</v>
      </c>
      <c r="M356" s="5">
        <v>45341</v>
      </c>
      <c r="N356" s="5">
        <v>45456</v>
      </c>
      <c r="O356" s="5" t="str">
        <f>TEXT(Table1[[#This Row],[harvest_date]],"mmmm")</f>
        <v>June</v>
      </c>
      <c r="P356">
        <v>115</v>
      </c>
      <c r="Q356">
        <v>5218.41</v>
      </c>
      <c r="R356" t="s">
        <v>778</v>
      </c>
      <c r="S356" s="5">
        <v>45420</v>
      </c>
      <c r="T356">
        <v>28.572201</v>
      </c>
      <c r="U356">
        <v>71.839157</v>
      </c>
      <c r="V356">
        <v>0.81</v>
      </c>
      <c r="W356" t="s">
        <v>32</v>
      </c>
      <c r="X356">
        <v>115</v>
      </c>
      <c r="Y356" t="s">
        <v>67</v>
      </c>
      <c r="Z356" t="s">
        <v>72</v>
      </c>
    </row>
    <row r="357" spans="1:26" x14ac:dyDescent="0.35">
      <c r="A357" t="s">
        <v>779</v>
      </c>
      <c r="B357" t="s">
        <v>2</v>
      </c>
      <c r="C357" t="s">
        <v>14</v>
      </c>
      <c r="D357">
        <v>19.57</v>
      </c>
      <c r="E357">
        <v>6.63</v>
      </c>
      <c r="F357">
        <v>25.62</v>
      </c>
      <c r="G357">
        <v>156.78</v>
      </c>
      <c r="H357">
        <v>57.37</v>
      </c>
      <c r="I357">
        <v>4.46</v>
      </c>
      <c r="J357" t="s">
        <v>80</v>
      </c>
      <c r="K357" t="s">
        <v>17</v>
      </c>
      <c r="L357">
        <v>41.19</v>
      </c>
      <c r="M357" s="5">
        <v>45344</v>
      </c>
      <c r="N357" s="5">
        <v>45468</v>
      </c>
      <c r="O357" s="5" t="str">
        <f>TEXT(Table1[[#This Row],[harvest_date]],"mmmm")</f>
        <v>June</v>
      </c>
      <c r="P357">
        <v>124</v>
      </c>
      <c r="Q357">
        <v>3253.41</v>
      </c>
      <c r="R357" t="s">
        <v>780</v>
      </c>
      <c r="S357" s="5">
        <v>45397</v>
      </c>
      <c r="T357">
        <v>20.057524000000001</v>
      </c>
      <c r="U357">
        <v>82.499278000000004</v>
      </c>
      <c r="V357">
        <v>0.56999999999999995</v>
      </c>
      <c r="W357" t="s">
        <v>30</v>
      </c>
      <c r="X357">
        <v>124</v>
      </c>
      <c r="Y357" t="s">
        <v>62</v>
      </c>
      <c r="Z357" t="s">
        <v>82</v>
      </c>
    </row>
    <row r="358" spans="1:26" x14ac:dyDescent="0.35">
      <c r="A358" t="s">
        <v>781</v>
      </c>
      <c r="B358" t="s">
        <v>3</v>
      </c>
      <c r="C358" t="s">
        <v>12</v>
      </c>
      <c r="D358">
        <v>40.19</v>
      </c>
      <c r="E358">
        <v>6.65</v>
      </c>
      <c r="F358">
        <v>19.260000000000002</v>
      </c>
      <c r="G358">
        <v>290.52999999999997</v>
      </c>
      <c r="H358">
        <v>77.11</v>
      </c>
      <c r="I358">
        <v>6.8</v>
      </c>
      <c r="J358" t="s">
        <v>32</v>
      </c>
      <c r="K358" t="s">
        <v>17</v>
      </c>
      <c r="L358">
        <v>37.700000000000003</v>
      </c>
      <c r="M358" s="5">
        <v>45308</v>
      </c>
      <c r="N358" s="5">
        <v>45410</v>
      </c>
      <c r="O358" s="5" t="str">
        <f>TEXT(Table1[[#This Row],[harvest_date]],"mmmm")</f>
        <v>April</v>
      </c>
      <c r="P358">
        <v>102</v>
      </c>
      <c r="Q358">
        <v>3457.1</v>
      </c>
      <c r="R358" t="s">
        <v>782</v>
      </c>
      <c r="S358" s="5">
        <v>45326</v>
      </c>
      <c r="T358">
        <v>16.009349</v>
      </c>
      <c r="U358">
        <v>84.928669999999997</v>
      </c>
      <c r="V358">
        <v>0.76</v>
      </c>
      <c r="W358" t="s">
        <v>33</v>
      </c>
      <c r="X358">
        <v>102</v>
      </c>
      <c r="Y358" t="s">
        <v>62</v>
      </c>
      <c r="Z358" t="s">
        <v>72</v>
      </c>
    </row>
    <row r="359" spans="1:26" x14ac:dyDescent="0.35">
      <c r="A359" t="s">
        <v>783</v>
      </c>
      <c r="B359" t="s">
        <v>5</v>
      </c>
      <c r="C359" t="s">
        <v>14</v>
      </c>
      <c r="D359">
        <v>40.11</v>
      </c>
      <c r="E359">
        <v>7.32</v>
      </c>
      <c r="F359">
        <v>27.68</v>
      </c>
      <c r="G359">
        <v>261.49</v>
      </c>
      <c r="H359">
        <v>53.35</v>
      </c>
      <c r="I359">
        <v>5.72</v>
      </c>
      <c r="J359" t="s">
        <v>65</v>
      </c>
      <c r="K359" t="s">
        <v>19</v>
      </c>
      <c r="L359">
        <v>35.909999999999997</v>
      </c>
      <c r="M359" s="5">
        <v>45304</v>
      </c>
      <c r="N359" s="5">
        <v>45409</v>
      </c>
      <c r="O359" s="5" t="str">
        <f>TEXT(Table1[[#This Row],[harvest_date]],"mmmm")</f>
        <v>April</v>
      </c>
      <c r="P359">
        <v>105</v>
      </c>
      <c r="Q359">
        <v>2454.23</v>
      </c>
      <c r="R359" t="s">
        <v>784</v>
      </c>
      <c r="S359" s="5">
        <v>45328</v>
      </c>
      <c r="T359">
        <v>10.692603999999999</v>
      </c>
      <c r="U359">
        <v>85.940894999999998</v>
      </c>
      <c r="V359">
        <v>0.49</v>
      </c>
      <c r="W359" t="s">
        <v>33</v>
      </c>
      <c r="X359">
        <v>105</v>
      </c>
      <c r="Y359" t="s">
        <v>71</v>
      </c>
      <c r="Z359" t="s">
        <v>72</v>
      </c>
    </row>
    <row r="360" spans="1:26" x14ac:dyDescent="0.35">
      <c r="A360" t="s">
        <v>785</v>
      </c>
      <c r="B360" t="s">
        <v>2</v>
      </c>
      <c r="C360" t="s">
        <v>11</v>
      </c>
      <c r="D360">
        <v>24.77</v>
      </c>
      <c r="E360">
        <v>7.31</v>
      </c>
      <c r="F360">
        <v>19.04</v>
      </c>
      <c r="G360">
        <v>118.18</v>
      </c>
      <c r="H360">
        <v>41.46</v>
      </c>
      <c r="I360">
        <v>8.74</v>
      </c>
      <c r="J360" t="s">
        <v>80</v>
      </c>
      <c r="K360" t="s">
        <v>17</v>
      </c>
      <c r="L360">
        <v>29.78</v>
      </c>
      <c r="M360" s="5">
        <v>45379</v>
      </c>
      <c r="N360" s="5">
        <v>45471</v>
      </c>
      <c r="O360" s="5" t="str">
        <f>TEXT(Table1[[#This Row],[harvest_date]],"mmmm")</f>
        <v>June</v>
      </c>
      <c r="P360">
        <v>92</v>
      </c>
      <c r="Q360">
        <v>5855.15</v>
      </c>
      <c r="R360" t="s">
        <v>786</v>
      </c>
      <c r="S360" s="5">
        <v>45441</v>
      </c>
      <c r="T360">
        <v>29.555844</v>
      </c>
      <c r="U360">
        <v>71.106544999999997</v>
      </c>
      <c r="V360">
        <v>0.84</v>
      </c>
      <c r="W360" t="s">
        <v>31</v>
      </c>
      <c r="X360">
        <v>92</v>
      </c>
      <c r="Y360" t="s">
        <v>67</v>
      </c>
      <c r="Z360" t="s">
        <v>72</v>
      </c>
    </row>
    <row r="361" spans="1:26" x14ac:dyDescent="0.35">
      <c r="A361" t="s">
        <v>787</v>
      </c>
      <c r="B361" t="s">
        <v>2</v>
      </c>
      <c r="C361" t="s">
        <v>14</v>
      </c>
      <c r="D361">
        <v>40.35</v>
      </c>
      <c r="E361">
        <v>7.3</v>
      </c>
      <c r="F361">
        <v>23.14</v>
      </c>
      <c r="G361">
        <v>140.86000000000001</v>
      </c>
      <c r="H361">
        <v>72.87</v>
      </c>
      <c r="I361">
        <v>4.54</v>
      </c>
      <c r="J361" t="s">
        <v>65</v>
      </c>
      <c r="K361" t="s">
        <v>18</v>
      </c>
      <c r="L361">
        <v>10.039999999999999</v>
      </c>
      <c r="M361" s="5">
        <v>45368</v>
      </c>
      <c r="N361" s="5">
        <v>45517</v>
      </c>
      <c r="O361" s="5" t="str">
        <f>TEXT(Table1[[#This Row],[harvest_date]],"mmmm")</f>
        <v>August</v>
      </c>
      <c r="P361">
        <v>149</v>
      </c>
      <c r="Q361">
        <v>2482.5700000000002</v>
      </c>
      <c r="R361" t="s">
        <v>788</v>
      </c>
      <c r="S361" s="5">
        <v>45516</v>
      </c>
      <c r="T361">
        <v>33.741863000000002</v>
      </c>
      <c r="U361">
        <v>88.631112999999999</v>
      </c>
      <c r="V361">
        <v>0.45</v>
      </c>
      <c r="W361" t="s">
        <v>32</v>
      </c>
      <c r="X361">
        <v>149</v>
      </c>
      <c r="Y361" t="s">
        <v>71</v>
      </c>
      <c r="Z361" t="s">
        <v>63</v>
      </c>
    </row>
    <row r="362" spans="1:26" x14ac:dyDescent="0.35">
      <c r="A362" t="s">
        <v>789</v>
      </c>
      <c r="B362" t="s">
        <v>4</v>
      </c>
      <c r="C362" t="s">
        <v>12</v>
      </c>
      <c r="D362">
        <v>14.28</v>
      </c>
      <c r="E362">
        <v>7.11</v>
      </c>
      <c r="F362">
        <v>21.59</v>
      </c>
      <c r="G362">
        <v>196.08</v>
      </c>
      <c r="H362">
        <v>59.5</v>
      </c>
      <c r="I362">
        <v>8.49</v>
      </c>
      <c r="J362" t="s">
        <v>65</v>
      </c>
      <c r="K362" t="s">
        <v>19</v>
      </c>
      <c r="L362">
        <v>14.81</v>
      </c>
      <c r="M362" s="5">
        <v>45297</v>
      </c>
      <c r="N362" s="5">
        <v>45400</v>
      </c>
      <c r="O362" s="5" t="str">
        <f>TEXT(Table1[[#This Row],[harvest_date]],"mmmm")</f>
        <v>April</v>
      </c>
      <c r="P362">
        <v>103</v>
      </c>
      <c r="Q362">
        <v>5879.69</v>
      </c>
      <c r="R362" t="s">
        <v>790</v>
      </c>
      <c r="S362" s="5">
        <v>45353</v>
      </c>
      <c r="T362">
        <v>20.209389000000002</v>
      </c>
      <c r="U362">
        <v>87.257998999999998</v>
      </c>
      <c r="V362">
        <v>0.33</v>
      </c>
      <c r="W362" t="s">
        <v>31</v>
      </c>
      <c r="X362">
        <v>103</v>
      </c>
      <c r="Y362" t="s">
        <v>67</v>
      </c>
      <c r="Z362" t="s">
        <v>63</v>
      </c>
    </row>
    <row r="363" spans="1:26" x14ac:dyDescent="0.35">
      <c r="A363" t="s">
        <v>791</v>
      </c>
      <c r="B363" t="s">
        <v>3</v>
      </c>
      <c r="C363" t="s">
        <v>14</v>
      </c>
      <c r="D363">
        <v>29.1</v>
      </c>
      <c r="E363">
        <v>6.45</v>
      </c>
      <c r="F363">
        <v>19.93</v>
      </c>
      <c r="G363">
        <v>119.43</v>
      </c>
      <c r="H363">
        <v>79.209999999999994</v>
      </c>
      <c r="I363">
        <v>4.87</v>
      </c>
      <c r="J363" t="s">
        <v>32</v>
      </c>
      <c r="K363" t="s">
        <v>17</v>
      </c>
      <c r="L363">
        <v>21.55</v>
      </c>
      <c r="M363" s="5">
        <v>45323</v>
      </c>
      <c r="N363" s="5">
        <v>45454</v>
      </c>
      <c r="O363" s="5" t="str">
        <f>TEXT(Table1[[#This Row],[harvest_date]],"mmmm")</f>
        <v>June</v>
      </c>
      <c r="P363">
        <v>131</v>
      </c>
      <c r="Q363">
        <v>5867.22</v>
      </c>
      <c r="R363" t="s">
        <v>792</v>
      </c>
      <c r="S363" s="5">
        <v>45331</v>
      </c>
      <c r="T363">
        <v>31.036823999999999</v>
      </c>
      <c r="U363">
        <v>83.244468999999995</v>
      </c>
      <c r="V363">
        <v>0.86</v>
      </c>
      <c r="W363" t="s">
        <v>30</v>
      </c>
      <c r="X363">
        <v>131</v>
      </c>
      <c r="Y363" t="s">
        <v>67</v>
      </c>
      <c r="Z363" t="s">
        <v>72</v>
      </c>
    </row>
    <row r="364" spans="1:26" x14ac:dyDescent="0.35">
      <c r="A364" t="s">
        <v>793</v>
      </c>
      <c r="B364" t="s">
        <v>1</v>
      </c>
      <c r="C364" t="s">
        <v>12</v>
      </c>
      <c r="D364">
        <v>23.46</v>
      </c>
      <c r="E364">
        <v>6.78</v>
      </c>
      <c r="F364">
        <v>29.01</v>
      </c>
      <c r="G364">
        <v>275.79000000000002</v>
      </c>
      <c r="H364">
        <v>74.260000000000005</v>
      </c>
      <c r="I364">
        <v>7.21</v>
      </c>
      <c r="J364" t="s">
        <v>65</v>
      </c>
      <c r="K364" t="s">
        <v>19</v>
      </c>
      <c r="L364">
        <v>22.48</v>
      </c>
      <c r="M364" s="5">
        <v>45331</v>
      </c>
      <c r="N364" s="5">
        <v>45440</v>
      </c>
      <c r="O364" s="5" t="str">
        <f>TEXT(Table1[[#This Row],[harvest_date]],"mmmm")</f>
        <v>May</v>
      </c>
      <c r="P364">
        <v>109</v>
      </c>
      <c r="Q364">
        <v>2361</v>
      </c>
      <c r="R364" t="s">
        <v>794</v>
      </c>
      <c r="S364" s="5">
        <v>45436</v>
      </c>
      <c r="T364">
        <v>28.916698</v>
      </c>
      <c r="U364">
        <v>75.948458000000002</v>
      </c>
      <c r="V364">
        <v>0.82</v>
      </c>
      <c r="W364" t="s">
        <v>30</v>
      </c>
      <c r="X364">
        <v>109</v>
      </c>
      <c r="Y364" t="s">
        <v>71</v>
      </c>
      <c r="Z364" t="s">
        <v>72</v>
      </c>
    </row>
    <row r="365" spans="1:26" x14ac:dyDescent="0.35">
      <c r="A365" t="s">
        <v>795</v>
      </c>
      <c r="B365" t="s">
        <v>5</v>
      </c>
      <c r="C365" t="s">
        <v>14</v>
      </c>
      <c r="D365">
        <v>40.78</v>
      </c>
      <c r="E365">
        <v>7.03</v>
      </c>
      <c r="F365">
        <v>23.13</v>
      </c>
      <c r="G365">
        <v>58.47</v>
      </c>
      <c r="H365">
        <v>83.32</v>
      </c>
      <c r="I365">
        <v>8.94</v>
      </c>
      <c r="J365" t="s">
        <v>32</v>
      </c>
      <c r="K365" t="s">
        <v>19</v>
      </c>
      <c r="L365">
        <v>38.159999999999997</v>
      </c>
      <c r="M365" s="5">
        <v>45345</v>
      </c>
      <c r="N365" s="5">
        <v>45462</v>
      </c>
      <c r="O365" s="5" t="str">
        <f>TEXT(Table1[[#This Row],[harvest_date]],"mmmm")</f>
        <v>June</v>
      </c>
      <c r="P365">
        <v>117</v>
      </c>
      <c r="Q365">
        <v>5507.04</v>
      </c>
      <c r="R365" t="s">
        <v>796</v>
      </c>
      <c r="S365" s="5">
        <v>45449</v>
      </c>
      <c r="T365">
        <v>12.509888999999999</v>
      </c>
      <c r="U365">
        <v>73.206867000000003</v>
      </c>
      <c r="V365">
        <v>0.46</v>
      </c>
      <c r="W365" t="s">
        <v>32</v>
      </c>
      <c r="X365">
        <v>117</v>
      </c>
      <c r="Y365" t="s">
        <v>67</v>
      </c>
      <c r="Z365" t="s">
        <v>82</v>
      </c>
    </row>
    <row r="366" spans="1:26" x14ac:dyDescent="0.35">
      <c r="A366" t="s">
        <v>797</v>
      </c>
      <c r="B366" t="s">
        <v>1</v>
      </c>
      <c r="C366" t="s">
        <v>11</v>
      </c>
      <c r="D366">
        <v>31.07</v>
      </c>
      <c r="E366">
        <v>7.13</v>
      </c>
      <c r="F366">
        <v>29.76</v>
      </c>
      <c r="G366">
        <v>163.32</v>
      </c>
      <c r="H366">
        <v>41.37</v>
      </c>
      <c r="I366">
        <v>4.3099999999999996</v>
      </c>
      <c r="J366" t="s">
        <v>65</v>
      </c>
      <c r="K366" t="s">
        <v>17</v>
      </c>
      <c r="L366">
        <v>24.95</v>
      </c>
      <c r="M366" s="5">
        <v>45356</v>
      </c>
      <c r="N366" s="5">
        <v>45446</v>
      </c>
      <c r="O366" s="5" t="str">
        <f>TEXT(Table1[[#This Row],[harvest_date]],"mmmm")</f>
        <v>June</v>
      </c>
      <c r="P366">
        <v>90</v>
      </c>
      <c r="Q366">
        <v>3602.65</v>
      </c>
      <c r="R366" t="s">
        <v>798</v>
      </c>
      <c r="S366" s="5">
        <v>45436</v>
      </c>
      <c r="T366">
        <v>17.638687999999998</v>
      </c>
      <c r="U366">
        <v>81.516187000000002</v>
      </c>
      <c r="V366">
        <v>0.37</v>
      </c>
      <c r="W366" t="s">
        <v>30</v>
      </c>
      <c r="X366">
        <v>90</v>
      </c>
      <c r="Y366" t="s">
        <v>62</v>
      </c>
      <c r="Z366" t="s">
        <v>72</v>
      </c>
    </row>
    <row r="367" spans="1:26" x14ac:dyDescent="0.35">
      <c r="A367" t="s">
        <v>799</v>
      </c>
      <c r="B367" t="s">
        <v>2</v>
      </c>
      <c r="C367" t="s">
        <v>10</v>
      </c>
      <c r="D367">
        <v>39.64</v>
      </c>
      <c r="E367">
        <v>6.87</v>
      </c>
      <c r="F367">
        <v>30.85</v>
      </c>
      <c r="G367">
        <v>129.85</v>
      </c>
      <c r="H367">
        <v>63.92</v>
      </c>
      <c r="I367">
        <v>8.41</v>
      </c>
      <c r="J367" t="s">
        <v>80</v>
      </c>
      <c r="K367" t="s">
        <v>18</v>
      </c>
      <c r="L367">
        <v>35.94</v>
      </c>
      <c r="M367" s="5">
        <v>45348</v>
      </c>
      <c r="N367" s="5">
        <v>45456</v>
      </c>
      <c r="O367" s="5" t="str">
        <f>TEXT(Table1[[#This Row],[harvest_date]],"mmmm")</f>
        <v>June</v>
      </c>
      <c r="P367">
        <v>108</v>
      </c>
      <c r="Q367">
        <v>2794.65</v>
      </c>
      <c r="R367" t="s">
        <v>800</v>
      </c>
      <c r="S367" s="5">
        <v>45401</v>
      </c>
      <c r="T367">
        <v>19.189989000000001</v>
      </c>
      <c r="U367">
        <v>77.869883999999999</v>
      </c>
      <c r="V367">
        <v>0.53</v>
      </c>
      <c r="W367" t="s">
        <v>30</v>
      </c>
      <c r="X367">
        <v>108</v>
      </c>
      <c r="Y367" t="s">
        <v>71</v>
      </c>
      <c r="Z367" t="s">
        <v>72</v>
      </c>
    </row>
    <row r="368" spans="1:26" x14ac:dyDescent="0.35">
      <c r="A368" t="s">
        <v>801</v>
      </c>
      <c r="B368" t="s">
        <v>3</v>
      </c>
      <c r="C368" t="s">
        <v>13</v>
      </c>
      <c r="D368">
        <v>42.31</v>
      </c>
      <c r="E368">
        <v>6.79</v>
      </c>
      <c r="F368">
        <v>27.53</v>
      </c>
      <c r="G368">
        <v>276.70999999999998</v>
      </c>
      <c r="H368">
        <v>88.71</v>
      </c>
      <c r="I368">
        <v>5.19</v>
      </c>
      <c r="J368" t="s">
        <v>65</v>
      </c>
      <c r="K368" t="s">
        <v>18</v>
      </c>
      <c r="L368">
        <v>23.05</v>
      </c>
      <c r="M368" s="5">
        <v>45342</v>
      </c>
      <c r="N368" s="5">
        <v>45448</v>
      </c>
      <c r="O368" s="5" t="str">
        <f>TEXT(Table1[[#This Row],[harvest_date]],"mmmm")</f>
        <v>June</v>
      </c>
      <c r="P368">
        <v>106</v>
      </c>
      <c r="Q368">
        <v>2597</v>
      </c>
      <c r="R368" t="s">
        <v>802</v>
      </c>
      <c r="S368" s="5">
        <v>45389</v>
      </c>
      <c r="T368">
        <v>14.253072</v>
      </c>
      <c r="U368">
        <v>81.344858000000002</v>
      </c>
      <c r="V368">
        <v>0.31</v>
      </c>
      <c r="W368" t="s">
        <v>33</v>
      </c>
      <c r="X368">
        <v>106</v>
      </c>
      <c r="Y368" t="s">
        <v>71</v>
      </c>
      <c r="Z368" t="s">
        <v>72</v>
      </c>
    </row>
    <row r="369" spans="1:26" x14ac:dyDescent="0.35">
      <c r="A369" t="s">
        <v>803</v>
      </c>
      <c r="B369" t="s">
        <v>5</v>
      </c>
      <c r="C369" t="s">
        <v>11</v>
      </c>
      <c r="D369">
        <v>14.15</v>
      </c>
      <c r="E369">
        <v>6.93</v>
      </c>
      <c r="F369">
        <v>18.809999999999999</v>
      </c>
      <c r="G369">
        <v>265.48</v>
      </c>
      <c r="H369">
        <v>79.11</v>
      </c>
      <c r="I369">
        <v>5.73</v>
      </c>
      <c r="J369" t="s">
        <v>32</v>
      </c>
      <c r="K369" t="s">
        <v>19</v>
      </c>
      <c r="L369">
        <v>10.86</v>
      </c>
      <c r="M369" s="5">
        <v>45311</v>
      </c>
      <c r="N369" s="5">
        <v>45414</v>
      </c>
      <c r="O369" s="5" t="str">
        <f>TEXT(Table1[[#This Row],[harvest_date]],"mmmm")</f>
        <v>May</v>
      </c>
      <c r="P369">
        <v>103</v>
      </c>
      <c r="Q369">
        <v>5980.83</v>
      </c>
      <c r="R369" t="s">
        <v>804</v>
      </c>
      <c r="S369" s="5">
        <v>45347</v>
      </c>
      <c r="T369">
        <v>28.167701999999998</v>
      </c>
      <c r="U369">
        <v>73.787262999999996</v>
      </c>
      <c r="V369">
        <v>0.41</v>
      </c>
      <c r="W369" t="s">
        <v>30</v>
      </c>
      <c r="X369">
        <v>103</v>
      </c>
      <c r="Y369" t="s">
        <v>67</v>
      </c>
      <c r="Z369" t="s">
        <v>63</v>
      </c>
    </row>
    <row r="370" spans="1:26" x14ac:dyDescent="0.35">
      <c r="A370" t="s">
        <v>805</v>
      </c>
      <c r="B370" t="s">
        <v>3</v>
      </c>
      <c r="C370" t="s">
        <v>14</v>
      </c>
      <c r="D370">
        <v>44.16</v>
      </c>
      <c r="E370">
        <v>5.97</v>
      </c>
      <c r="F370">
        <v>24.02</v>
      </c>
      <c r="G370">
        <v>112.08</v>
      </c>
      <c r="H370">
        <v>69.150000000000006</v>
      </c>
      <c r="I370">
        <v>7.88</v>
      </c>
      <c r="J370" t="s">
        <v>69</v>
      </c>
      <c r="K370" t="s">
        <v>18</v>
      </c>
      <c r="L370">
        <v>26.1</v>
      </c>
      <c r="M370" s="5">
        <v>45345</v>
      </c>
      <c r="N370" s="5">
        <v>45460</v>
      </c>
      <c r="O370" s="5" t="str">
        <f>TEXT(Table1[[#This Row],[harvest_date]],"mmmm")</f>
        <v>June</v>
      </c>
      <c r="P370">
        <v>115</v>
      </c>
      <c r="Q370">
        <v>4747.41</v>
      </c>
      <c r="R370" t="s">
        <v>806</v>
      </c>
      <c r="S370" s="5">
        <v>45436</v>
      </c>
      <c r="T370">
        <v>19.587385999999999</v>
      </c>
      <c r="U370">
        <v>78.465818999999996</v>
      </c>
      <c r="V370">
        <v>0.66</v>
      </c>
      <c r="W370" t="s">
        <v>32</v>
      </c>
      <c r="X370">
        <v>115</v>
      </c>
      <c r="Y370" t="s">
        <v>62</v>
      </c>
      <c r="Z370" t="s">
        <v>72</v>
      </c>
    </row>
    <row r="371" spans="1:26" x14ac:dyDescent="0.35">
      <c r="A371" t="s">
        <v>807</v>
      </c>
      <c r="B371" t="s">
        <v>3</v>
      </c>
      <c r="C371" t="s">
        <v>12</v>
      </c>
      <c r="D371">
        <v>12.06</v>
      </c>
      <c r="E371">
        <v>6.17</v>
      </c>
      <c r="F371">
        <v>19.7</v>
      </c>
      <c r="G371">
        <v>277.06</v>
      </c>
      <c r="H371">
        <v>89.84</v>
      </c>
      <c r="I371">
        <v>9.64</v>
      </c>
      <c r="J371" t="s">
        <v>69</v>
      </c>
      <c r="K371" t="s">
        <v>18</v>
      </c>
      <c r="L371">
        <v>16.41</v>
      </c>
      <c r="M371" s="5">
        <v>45364</v>
      </c>
      <c r="N371" s="5">
        <v>45473</v>
      </c>
      <c r="O371" s="5" t="str">
        <f>TEXT(Table1[[#This Row],[harvest_date]],"mmmm")</f>
        <v>June</v>
      </c>
      <c r="P371">
        <v>109</v>
      </c>
      <c r="Q371">
        <v>5910.1</v>
      </c>
      <c r="R371" t="s">
        <v>808</v>
      </c>
      <c r="S371" s="5">
        <v>45449</v>
      </c>
      <c r="T371">
        <v>19.27253</v>
      </c>
      <c r="U371">
        <v>89.361155999999994</v>
      </c>
      <c r="V371">
        <v>0.64</v>
      </c>
      <c r="W371" t="s">
        <v>30</v>
      </c>
      <c r="X371">
        <v>109</v>
      </c>
      <c r="Y371" t="s">
        <v>67</v>
      </c>
      <c r="Z371" t="s">
        <v>72</v>
      </c>
    </row>
    <row r="372" spans="1:26" x14ac:dyDescent="0.35">
      <c r="A372" t="s">
        <v>809</v>
      </c>
      <c r="B372" t="s">
        <v>1</v>
      </c>
      <c r="C372" t="s">
        <v>10</v>
      </c>
      <c r="D372">
        <v>27.63</v>
      </c>
      <c r="E372">
        <v>7.36</v>
      </c>
      <c r="F372">
        <v>32.56</v>
      </c>
      <c r="G372">
        <v>82.98</v>
      </c>
      <c r="H372">
        <v>55.87</v>
      </c>
      <c r="I372">
        <v>7.18</v>
      </c>
      <c r="J372" t="s">
        <v>65</v>
      </c>
      <c r="K372" t="s">
        <v>19</v>
      </c>
      <c r="L372">
        <v>10.26</v>
      </c>
      <c r="M372" s="5">
        <v>45296</v>
      </c>
      <c r="N372" s="5">
        <v>45417</v>
      </c>
      <c r="O372" s="5" t="str">
        <f>TEXT(Table1[[#This Row],[harvest_date]],"mmmm")</f>
        <v>May</v>
      </c>
      <c r="P372">
        <v>121</v>
      </c>
      <c r="Q372">
        <v>5486.72</v>
      </c>
      <c r="R372" t="s">
        <v>810</v>
      </c>
      <c r="S372" s="5">
        <v>45402</v>
      </c>
      <c r="T372">
        <v>17.025016000000001</v>
      </c>
      <c r="U372">
        <v>77.211843999999999</v>
      </c>
      <c r="V372">
        <v>0.56000000000000005</v>
      </c>
      <c r="W372" t="s">
        <v>31</v>
      </c>
      <c r="X372">
        <v>121</v>
      </c>
      <c r="Y372" t="s">
        <v>67</v>
      </c>
      <c r="Z372" t="s">
        <v>63</v>
      </c>
    </row>
    <row r="373" spans="1:26" x14ac:dyDescent="0.35">
      <c r="A373" t="s">
        <v>811</v>
      </c>
      <c r="B373" t="s">
        <v>2</v>
      </c>
      <c r="C373" t="s">
        <v>14</v>
      </c>
      <c r="D373">
        <v>28.09</v>
      </c>
      <c r="E373">
        <v>6.37</v>
      </c>
      <c r="F373">
        <v>18.3</v>
      </c>
      <c r="G373">
        <v>234.22</v>
      </c>
      <c r="H373">
        <v>64.56</v>
      </c>
      <c r="I373">
        <v>9.6999999999999993</v>
      </c>
      <c r="J373" t="s">
        <v>32</v>
      </c>
      <c r="K373" t="s">
        <v>18</v>
      </c>
      <c r="L373">
        <v>13.5</v>
      </c>
      <c r="M373" s="5">
        <v>45299</v>
      </c>
      <c r="N373" s="5">
        <v>45400</v>
      </c>
      <c r="O373" s="5" t="str">
        <f>TEXT(Table1[[#This Row],[harvest_date]],"mmmm")</f>
        <v>April</v>
      </c>
      <c r="P373">
        <v>101</v>
      </c>
      <c r="Q373">
        <v>2143.4499999999998</v>
      </c>
      <c r="R373" t="s">
        <v>812</v>
      </c>
      <c r="S373" s="5">
        <v>45332</v>
      </c>
      <c r="T373">
        <v>14.088874000000001</v>
      </c>
      <c r="U373">
        <v>79.342657000000003</v>
      </c>
      <c r="V373">
        <v>0.37</v>
      </c>
      <c r="W373" t="s">
        <v>33</v>
      </c>
      <c r="X373">
        <v>101</v>
      </c>
      <c r="Y373" t="s">
        <v>71</v>
      </c>
      <c r="Z373" t="s">
        <v>63</v>
      </c>
    </row>
    <row r="374" spans="1:26" x14ac:dyDescent="0.35">
      <c r="A374" t="s">
        <v>813</v>
      </c>
      <c r="B374" t="s">
        <v>3</v>
      </c>
      <c r="C374" t="s">
        <v>11</v>
      </c>
      <c r="D374">
        <v>22.48</v>
      </c>
      <c r="E374">
        <v>6.92</v>
      </c>
      <c r="F374">
        <v>24.7</v>
      </c>
      <c r="G374">
        <v>173.25</v>
      </c>
      <c r="H374">
        <v>82.29</v>
      </c>
      <c r="I374">
        <v>9.1999999999999993</v>
      </c>
      <c r="J374" t="s">
        <v>69</v>
      </c>
      <c r="K374" t="s">
        <v>19</v>
      </c>
      <c r="L374">
        <v>9.2100000000000009</v>
      </c>
      <c r="M374" s="5">
        <v>45328</v>
      </c>
      <c r="N374" s="5">
        <v>45471</v>
      </c>
      <c r="O374" s="5" t="str">
        <f>TEXT(Table1[[#This Row],[harvest_date]],"mmmm")</f>
        <v>June</v>
      </c>
      <c r="P374">
        <v>143</v>
      </c>
      <c r="Q374">
        <v>2673.18</v>
      </c>
      <c r="R374" t="s">
        <v>814</v>
      </c>
      <c r="S374" s="5">
        <v>45458</v>
      </c>
      <c r="T374">
        <v>30.564294</v>
      </c>
      <c r="U374">
        <v>81.264948000000004</v>
      </c>
      <c r="V374">
        <v>0.7</v>
      </c>
      <c r="W374" t="s">
        <v>30</v>
      </c>
      <c r="X374">
        <v>143</v>
      </c>
      <c r="Y374" t="s">
        <v>71</v>
      </c>
      <c r="Z374" t="s">
        <v>63</v>
      </c>
    </row>
    <row r="375" spans="1:26" x14ac:dyDescent="0.35">
      <c r="A375" t="s">
        <v>815</v>
      </c>
      <c r="B375" t="s">
        <v>2</v>
      </c>
      <c r="C375" t="s">
        <v>13</v>
      </c>
      <c r="D375">
        <v>28.41</v>
      </c>
      <c r="E375">
        <v>6.64</v>
      </c>
      <c r="F375">
        <v>23.33</v>
      </c>
      <c r="G375">
        <v>69.209999999999994</v>
      </c>
      <c r="H375">
        <v>78.41</v>
      </c>
      <c r="I375">
        <v>8.06</v>
      </c>
      <c r="J375" t="s">
        <v>80</v>
      </c>
      <c r="K375" t="s">
        <v>18</v>
      </c>
      <c r="L375">
        <v>17.79</v>
      </c>
      <c r="M375" s="5">
        <v>45355</v>
      </c>
      <c r="N375" s="5">
        <v>45470</v>
      </c>
      <c r="O375" s="5" t="str">
        <f>TEXT(Table1[[#This Row],[harvest_date]],"mmmm")</f>
        <v>June</v>
      </c>
      <c r="P375">
        <v>115</v>
      </c>
      <c r="Q375">
        <v>3494.23</v>
      </c>
      <c r="R375" t="s">
        <v>816</v>
      </c>
      <c r="S375" s="5">
        <v>45368</v>
      </c>
      <c r="T375">
        <v>30.924430000000001</v>
      </c>
      <c r="U375">
        <v>73.075508999999997</v>
      </c>
      <c r="V375">
        <v>0.35</v>
      </c>
      <c r="W375" t="s">
        <v>33</v>
      </c>
      <c r="X375">
        <v>115</v>
      </c>
      <c r="Y375" t="s">
        <v>62</v>
      </c>
      <c r="Z375" t="s">
        <v>72</v>
      </c>
    </row>
    <row r="376" spans="1:26" x14ac:dyDescent="0.35">
      <c r="A376" t="s">
        <v>817</v>
      </c>
      <c r="B376" t="s">
        <v>5</v>
      </c>
      <c r="C376" t="s">
        <v>14</v>
      </c>
      <c r="D376">
        <v>30.8</v>
      </c>
      <c r="E376">
        <v>5.51</v>
      </c>
      <c r="F376">
        <v>34.4</v>
      </c>
      <c r="G376">
        <v>214.04</v>
      </c>
      <c r="H376">
        <v>87.54</v>
      </c>
      <c r="I376">
        <v>5.95</v>
      </c>
      <c r="J376" t="s">
        <v>65</v>
      </c>
      <c r="K376" t="s">
        <v>18</v>
      </c>
      <c r="L376">
        <v>43.85</v>
      </c>
      <c r="M376" s="5">
        <v>45361</v>
      </c>
      <c r="N376" s="5">
        <v>45471</v>
      </c>
      <c r="O376" s="5" t="str">
        <f>TEXT(Table1[[#This Row],[harvest_date]],"mmmm")</f>
        <v>June</v>
      </c>
      <c r="P376">
        <v>110</v>
      </c>
      <c r="Q376">
        <v>5192.59</v>
      </c>
      <c r="R376" t="s">
        <v>818</v>
      </c>
      <c r="S376" s="5">
        <v>45456</v>
      </c>
      <c r="T376">
        <v>11.768102000000001</v>
      </c>
      <c r="U376">
        <v>89.038004000000001</v>
      </c>
      <c r="V376">
        <v>0.53</v>
      </c>
      <c r="W376" t="s">
        <v>33</v>
      </c>
      <c r="X376">
        <v>110</v>
      </c>
      <c r="Y376" t="s">
        <v>67</v>
      </c>
      <c r="Z376" t="s">
        <v>82</v>
      </c>
    </row>
    <row r="377" spans="1:26" x14ac:dyDescent="0.35">
      <c r="A377" t="s">
        <v>819</v>
      </c>
      <c r="B377" t="s">
        <v>1</v>
      </c>
      <c r="C377" t="s">
        <v>10</v>
      </c>
      <c r="D377">
        <v>18.399999999999999</v>
      </c>
      <c r="E377">
        <v>7.04</v>
      </c>
      <c r="F377">
        <v>22.98</v>
      </c>
      <c r="G377">
        <v>55.13</v>
      </c>
      <c r="H377">
        <v>50.41</v>
      </c>
      <c r="I377">
        <v>6.33</v>
      </c>
      <c r="J377" t="s">
        <v>32</v>
      </c>
      <c r="K377" t="s">
        <v>19</v>
      </c>
      <c r="L377">
        <v>34.119999999999997</v>
      </c>
      <c r="M377" s="5">
        <v>45356</v>
      </c>
      <c r="N377" s="5">
        <v>45453</v>
      </c>
      <c r="O377" s="5" t="str">
        <f>TEXT(Table1[[#This Row],[harvest_date]],"mmmm")</f>
        <v>June</v>
      </c>
      <c r="P377">
        <v>97</v>
      </c>
      <c r="Q377">
        <v>3194.19</v>
      </c>
      <c r="R377" t="s">
        <v>820</v>
      </c>
      <c r="S377" s="5">
        <v>45411</v>
      </c>
      <c r="T377">
        <v>28.397231999999999</v>
      </c>
      <c r="U377">
        <v>88.433995999999993</v>
      </c>
      <c r="V377">
        <v>0.84</v>
      </c>
      <c r="W377" t="s">
        <v>30</v>
      </c>
      <c r="X377">
        <v>97</v>
      </c>
      <c r="Y377" t="s">
        <v>62</v>
      </c>
      <c r="Z377" t="s">
        <v>72</v>
      </c>
    </row>
    <row r="378" spans="1:26" x14ac:dyDescent="0.35">
      <c r="A378" t="s">
        <v>821</v>
      </c>
      <c r="B378" t="s">
        <v>1</v>
      </c>
      <c r="C378" t="s">
        <v>13</v>
      </c>
      <c r="D378">
        <v>39.119999999999997</v>
      </c>
      <c r="E378">
        <v>6.53</v>
      </c>
      <c r="F378">
        <v>24.79</v>
      </c>
      <c r="G378">
        <v>271.35000000000002</v>
      </c>
      <c r="H378">
        <v>63.82</v>
      </c>
      <c r="I378">
        <v>7.38</v>
      </c>
      <c r="J378" t="s">
        <v>32</v>
      </c>
      <c r="K378" t="s">
        <v>18</v>
      </c>
      <c r="L378">
        <v>39.04</v>
      </c>
      <c r="M378" s="5">
        <v>45342</v>
      </c>
      <c r="N378" s="5">
        <v>45443</v>
      </c>
      <c r="O378" s="5" t="str">
        <f>TEXT(Table1[[#This Row],[harvest_date]],"mmmm")</f>
        <v>May</v>
      </c>
      <c r="P378">
        <v>101</v>
      </c>
      <c r="Q378">
        <v>3736.42</v>
      </c>
      <c r="R378" t="s">
        <v>822</v>
      </c>
      <c r="S378" s="5">
        <v>45396</v>
      </c>
      <c r="T378">
        <v>12.323687</v>
      </c>
      <c r="U378">
        <v>80.266829000000001</v>
      </c>
      <c r="V378">
        <v>0.88</v>
      </c>
      <c r="W378" t="s">
        <v>30</v>
      </c>
      <c r="X378">
        <v>101</v>
      </c>
      <c r="Y378" t="s">
        <v>62</v>
      </c>
      <c r="Z378" t="s">
        <v>82</v>
      </c>
    </row>
    <row r="379" spans="1:26" x14ac:dyDescent="0.35">
      <c r="A379" t="s">
        <v>823</v>
      </c>
      <c r="B379" t="s">
        <v>4</v>
      </c>
      <c r="C379" t="s">
        <v>11</v>
      </c>
      <c r="D379">
        <v>28.45</v>
      </c>
      <c r="E379">
        <v>6.79</v>
      </c>
      <c r="F379">
        <v>16.68</v>
      </c>
      <c r="G379">
        <v>167.05</v>
      </c>
      <c r="H379">
        <v>43.96</v>
      </c>
      <c r="I379">
        <v>8.81</v>
      </c>
      <c r="J379" t="s">
        <v>80</v>
      </c>
      <c r="K379" t="s">
        <v>18</v>
      </c>
      <c r="L379">
        <v>49.29</v>
      </c>
      <c r="M379" s="5">
        <v>45361</v>
      </c>
      <c r="N379" s="5">
        <v>45504</v>
      </c>
      <c r="O379" s="5" t="str">
        <f>TEXT(Table1[[#This Row],[harvest_date]],"mmmm")</f>
        <v>July</v>
      </c>
      <c r="P379">
        <v>143</v>
      </c>
      <c r="Q379">
        <v>2994.61</v>
      </c>
      <c r="R379" t="s">
        <v>824</v>
      </c>
      <c r="S379" s="5">
        <v>45470</v>
      </c>
      <c r="T379">
        <v>17.387041</v>
      </c>
      <c r="U379">
        <v>70.954565000000002</v>
      </c>
      <c r="V379">
        <v>0.35</v>
      </c>
      <c r="W379" t="s">
        <v>32</v>
      </c>
      <c r="X379">
        <v>143</v>
      </c>
      <c r="Y379" t="s">
        <v>71</v>
      </c>
      <c r="Z379" t="s">
        <v>82</v>
      </c>
    </row>
    <row r="380" spans="1:26" x14ac:dyDescent="0.35">
      <c r="A380" t="s">
        <v>825</v>
      </c>
      <c r="B380" t="s">
        <v>2</v>
      </c>
      <c r="C380" t="s">
        <v>13</v>
      </c>
      <c r="D380">
        <v>27.87</v>
      </c>
      <c r="E380">
        <v>6.33</v>
      </c>
      <c r="F380">
        <v>24.29</v>
      </c>
      <c r="G380">
        <v>230.08</v>
      </c>
      <c r="H380">
        <v>80.64</v>
      </c>
      <c r="I380">
        <v>6.13</v>
      </c>
      <c r="J380" t="s">
        <v>69</v>
      </c>
      <c r="K380" t="s">
        <v>17</v>
      </c>
      <c r="L380">
        <v>5.73</v>
      </c>
      <c r="M380" s="5">
        <v>45373</v>
      </c>
      <c r="N380" s="5">
        <v>45492</v>
      </c>
      <c r="O380" s="5" t="str">
        <f>TEXT(Table1[[#This Row],[harvest_date]],"mmmm")</f>
        <v>July</v>
      </c>
      <c r="P380">
        <v>119</v>
      </c>
      <c r="Q380">
        <v>2718.21</v>
      </c>
      <c r="R380" t="s">
        <v>826</v>
      </c>
      <c r="S380" s="5">
        <v>45396</v>
      </c>
      <c r="T380">
        <v>31.072745999999999</v>
      </c>
      <c r="U380">
        <v>70.905174000000002</v>
      </c>
      <c r="V380">
        <v>0.55000000000000004</v>
      </c>
      <c r="W380" t="s">
        <v>31</v>
      </c>
      <c r="X380">
        <v>119</v>
      </c>
      <c r="Y380" t="s">
        <v>71</v>
      </c>
      <c r="Z380" t="s">
        <v>63</v>
      </c>
    </row>
    <row r="381" spans="1:26" x14ac:dyDescent="0.35">
      <c r="A381" t="s">
        <v>827</v>
      </c>
      <c r="B381" t="s">
        <v>1</v>
      </c>
      <c r="C381" t="s">
        <v>12</v>
      </c>
      <c r="D381">
        <v>35.340000000000003</v>
      </c>
      <c r="E381">
        <v>7.01</v>
      </c>
      <c r="F381">
        <v>24</v>
      </c>
      <c r="G381">
        <v>251.96</v>
      </c>
      <c r="H381">
        <v>57.07</v>
      </c>
      <c r="I381">
        <v>9.51</v>
      </c>
      <c r="J381" t="s">
        <v>65</v>
      </c>
      <c r="K381" t="s">
        <v>18</v>
      </c>
      <c r="L381">
        <v>13.33</v>
      </c>
      <c r="M381" s="5">
        <v>45371</v>
      </c>
      <c r="N381" s="5">
        <v>45477</v>
      </c>
      <c r="O381" s="5" t="str">
        <f>TEXT(Table1[[#This Row],[harvest_date]],"mmmm")</f>
        <v>July</v>
      </c>
      <c r="P381">
        <v>106</v>
      </c>
      <c r="Q381">
        <v>5486.46</v>
      </c>
      <c r="R381" t="s">
        <v>828</v>
      </c>
      <c r="S381" s="5">
        <v>45384</v>
      </c>
      <c r="T381">
        <v>20.844973</v>
      </c>
      <c r="U381">
        <v>70.358304000000004</v>
      </c>
      <c r="V381">
        <v>0.54</v>
      </c>
      <c r="W381" t="s">
        <v>32</v>
      </c>
      <c r="X381">
        <v>106</v>
      </c>
      <c r="Y381" t="s">
        <v>67</v>
      </c>
      <c r="Z381" t="s">
        <v>63</v>
      </c>
    </row>
    <row r="382" spans="1:26" x14ac:dyDescent="0.35">
      <c r="A382" t="s">
        <v>829</v>
      </c>
      <c r="B382" t="s">
        <v>4</v>
      </c>
      <c r="C382" t="s">
        <v>11</v>
      </c>
      <c r="D382">
        <v>26.11</v>
      </c>
      <c r="E382">
        <v>6.31</v>
      </c>
      <c r="F382">
        <v>28.15</v>
      </c>
      <c r="G382">
        <v>236.06</v>
      </c>
      <c r="H382">
        <v>76.3</v>
      </c>
      <c r="I382">
        <v>5.82</v>
      </c>
      <c r="J382" t="s">
        <v>80</v>
      </c>
      <c r="K382" t="s">
        <v>17</v>
      </c>
      <c r="L382">
        <v>35.32</v>
      </c>
      <c r="M382" s="5">
        <v>45373</v>
      </c>
      <c r="N382" s="5">
        <v>45488</v>
      </c>
      <c r="O382" s="5" t="str">
        <f>TEXT(Table1[[#This Row],[harvest_date]],"mmmm")</f>
        <v>July</v>
      </c>
      <c r="P382">
        <v>115</v>
      </c>
      <c r="Q382">
        <v>5218.5600000000004</v>
      </c>
      <c r="R382" t="s">
        <v>830</v>
      </c>
      <c r="S382" s="5">
        <v>45384</v>
      </c>
      <c r="T382">
        <v>13.127236999999999</v>
      </c>
      <c r="U382">
        <v>70.277518000000001</v>
      </c>
      <c r="V382">
        <v>0.37</v>
      </c>
      <c r="W382" t="s">
        <v>32</v>
      </c>
      <c r="X382">
        <v>115</v>
      </c>
      <c r="Y382" t="s">
        <v>67</v>
      </c>
      <c r="Z382" t="s">
        <v>72</v>
      </c>
    </row>
    <row r="383" spans="1:26" x14ac:dyDescent="0.35">
      <c r="A383" t="s">
        <v>831</v>
      </c>
      <c r="B383" t="s">
        <v>4</v>
      </c>
      <c r="C383" t="s">
        <v>13</v>
      </c>
      <c r="D383">
        <v>17.32</v>
      </c>
      <c r="E383">
        <v>6.8</v>
      </c>
      <c r="F383">
        <v>27.99</v>
      </c>
      <c r="G383">
        <v>158.94999999999999</v>
      </c>
      <c r="H383">
        <v>71.3</v>
      </c>
      <c r="I383">
        <v>8.74</v>
      </c>
      <c r="J383" t="s">
        <v>65</v>
      </c>
      <c r="K383" t="s">
        <v>18</v>
      </c>
      <c r="L383">
        <v>18.54</v>
      </c>
      <c r="M383" s="5">
        <v>45327</v>
      </c>
      <c r="N383" s="5">
        <v>45447</v>
      </c>
      <c r="O383" s="5" t="str">
        <f>TEXT(Table1[[#This Row],[harvest_date]],"mmmm")</f>
        <v>June</v>
      </c>
      <c r="P383">
        <v>120</v>
      </c>
      <c r="Q383">
        <v>3687.52</v>
      </c>
      <c r="R383" t="s">
        <v>832</v>
      </c>
      <c r="S383" s="5">
        <v>45341</v>
      </c>
      <c r="T383">
        <v>14.152637</v>
      </c>
      <c r="U383">
        <v>73.048445000000001</v>
      </c>
      <c r="V383">
        <v>0.72</v>
      </c>
      <c r="W383" t="s">
        <v>33</v>
      </c>
      <c r="X383">
        <v>120</v>
      </c>
      <c r="Y383" t="s">
        <v>62</v>
      </c>
      <c r="Z383" t="s">
        <v>72</v>
      </c>
    </row>
    <row r="384" spans="1:26" x14ac:dyDescent="0.35">
      <c r="A384" t="s">
        <v>833</v>
      </c>
      <c r="B384" t="s">
        <v>5</v>
      </c>
      <c r="C384" t="s">
        <v>13</v>
      </c>
      <c r="D384">
        <v>40.090000000000003</v>
      </c>
      <c r="E384">
        <v>6.67</v>
      </c>
      <c r="F384">
        <v>19.03</v>
      </c>
      <c r="G384">
        <v>192.36</v>
      </c>
      <c r="H384">
        <v>81.69</v>
      </c>
      <c r="I384">
        <v>4.3099999999999996</v>
      </c>
      <c r="J384" t="s">
        <v>69</v>
      </c>
      <c r="K384" t="s">
        <v>18</v>
      </c>
      <c r="L384">
        <v>33.369999999999997</v>
      </c>
      <c r="M384" s="5">
        <v>45365</v>
      </c>
      <c r="N384" s="5">
        <v>45481</v>
      </c>
      <c r="O384" s="5" t="str">
        <f>TEXT(Table1[[#This Row],[harvest_date]],"mmmm")</f>
        <v>July</v>
      </c>
      <c r="P384">
        <v>116</v>
      </c>
      <c r="Q384">
        <v>5394.47</v>
      </c>
      <c r="R384" t="s">
        <v>834</v>
      </c>
      <c r="S384" s="5">
        <v>45459</v>
      </c>
      <c r="T384">
        <v>24.466532000000001</v>
      </c>
      <c r="U384">
        <v>84.621571000000003</v>
      </c>
      <c r="V384">
        <v>0.9</v>
      </c>
      <c r="W384" t="s">
        <v>32</v>
      </c>
      <c r="X384">
        <v>116</v>
      </c>
      <c r="Y384" t="s">
        <v>67</v>
      </c>
      <c r="Z384" t="s">
        <v>72</v>
      </c>
    </row>
    <row r="385" spans="1:26" x14ac:dyDescent="0.35">
      <c r="A385" t="s">
        <v>835</v>
      </c>
      <c r="B385" t="s">
        <v>5</v>
      </c>
      <c r="C385" t="s">
        <v>11</v>
      </c>
      <c r="D385">
        <v>27.01</v>
      </c>
      <c r="E385">
        <v>6.68</v>
      </c>
      <c r="F385">
        <v>27.23</v>
      </c>
      <c r="G385">
        <v>219.67</v>
      </c>
      <c r="H385">
        <v>80.83</v>
      </c>
      <c r="I385">
        <v>6.93</v>
      </c>
      <c r="J385" t="s">
        <v>69</v>
      </c>
      <c r="K385" t="s">
        <v>17</v>
      </c>
      <c r="L385">
        <v>5.86</v>
      </c>
      <c r="M385" s="5">
        <v>45362</v>
      </c>
      <c r="N385" s="5">
        <v>45487</v>
      </c>
      <c r="O385" s="5" t="str">
        <f>TEXT(Table1[[#This Row],[harvest_date]],"mmmm")</f>
        <v>July</v>
      </c>
      <c r="P385">
        <v>125</v>
      </c>
      <c r="Q385">
        <v>2254.04</v>
      </c>
      <c r="R385" t="s">
        <v>836</v>
      </c>
      <c r="S385" s="5">
        <v>45476</v>
      </c>
      <c r="T385">
        <v>26.207507</v>
      </c>
      <c r="U385">
        <v>87.782812000000007</v>
      </c>
      <c r="V385">
        <v>0.37</v>
      </c>
      <c r="W385" t="s">
        <v>31</v>
      </c>
      <c r="X385">
        <v>125</v>
      </c>
      <c r="Y385" t="s">
        <v>71</v>
      </c>
      <c r="Z385" t="s">
        <v>63</v>
      </c>
    </row>
    <row r="386" spans="1:26" x14ac:dyDescent="0.35">
      <c r="A386" t="s">
        <v>837</v>
      </c>
      <c r="B386" t="s">
        <v>5</v>
      </c>
      <c r="C386" t="s">
        <v>11</v>
      </c>
      <c r="D386">
        <v>10.73</v>
      </c>
      <c r="E386">
        <v>6.08</v>
      </c>
      <c r="F386">
        <v>18.84</v>
      </c>
      <c r="G386">
        <v>135.96</v>
      </c>
      <c r="H386">
        <v>51.61</v>
      </c>
      <c r="I386">
        <v>5.32</v>
      </c>
      <c r="J386" t="s">
        <v>80</v>
      </c>
      <c r="K386" t="s">
        <v>17</v>
      </c>
      <c r="L386">
        <v>43.41</v>
      </c>
      <c r="M386" s="5">
        <v>45373</v>
      </c>
      <c r="N386" s="5">
        <v>45492</v>
      </c>
      <c r="O386" s="5" t="str">
        <f>TEXT(Table1[[#This Row],[harvest_date]],"mmmm")</f>
        <v>July</v>
      </c>
      <c r="P386">
        <v>119</v>
      </c>
      <c r="Q386">
        <v>2524.63</v>
      </c>
      <c r="R386" t="s">
        <v>838</v>
      </c>
      <c r="S386" s="5">
        <v>45410</v>
      </c>
      <c r="T386">
        <v>28.074874999999999</v>
      </c>
      <c r="U386">
        <v>77.807424999999995</v>
      </c>
      <c r="V386">
        <v>0.55000000000000004</v>
      </c>
      <c r="W386" t="s">
        <v>31</v>
      </c>
      <c r="X386">
        <v>119</v>
      </c>
      <c r="Y386" t="s">
        <v>71</v>
      </c>
      <c r="Z386" t="s">
        <v>82</v>
      </c>
    </row>
    <row r="387" spans="1:26" x14ac:dyDescent="0.35">
      <c r="A387" t="s">
        <v>839</v>
      </c>
      <c r="B387" t="s">
        <v>5</v>
      </c>
      <c r="C387" t="s">
        <v>10</v>
      </c>
      <c r="D387">
        <v>31.76</v>
      </c>
      <c r="E387">
        <v>6.06</v>
      </c>
      <c r="F387">
        <v>29.99</v>
      </c>
      <c r="G387">
        <v>216.76</v>
      </c>
      <c r="H387">
        <v>46.45</v>
      </c>
      <c r="I387">
        <v>5.2</v>
      </c>
      <c r="J387" t="s">
        <v>32</v>
      </c>
      <c r="K387" t="s">
        <v>18</v>
      </c>
      <c r="L387">
        <v>40.71</v>
      </c>
      <c r="M387" s="5">
        <v>45332</v>
      </c>
      <c r="N387" s="5">
        <v>45437</v>
      </c>
      <c r="O387" s="5" t="str">
        <f>TEXT(Table1[[#This Row],[harvest_date]],"mmmm")</f>
        <v>May</v>
      </c>
      <c r="P387">
        <v>105</v>
      </c>
      <c r="Q387">
        <v>2837.73</v>
      </c>
      <c r="R387" t="s">
        <v>840</v>
      </c>
      <c r="S387" s="5">
        <v>45338</v>
      </c>
      <c r="T387">
        <v>34.981530999999997</v>
      </c>
      <c r="U387">
        <v>77.175735000000003</v>
      </c>
      <c r="V387">
        <v>0.46</v>
      </c>
      <c r="W387" t="s">
        <v>30</v>
      </c>
      <c r="X387">
        <v>105</v>
      </c>
      <c r="Y387" t="s">
        <v>71</v>
      </c>
      <c r="Z387" t="s">
        <v>82</v>
      </c>
    </row>
    <row r="388" spans="1:26" x14ac:dyDescent="0.35">
      <c r="A388" t="s">
        <v>841</v>
      </c>
      <c r="B388" t="s">
        <v>4</v>
      </c>
      <c r="C388" t="s">
        <v>12</v>
      </c>
      <c r="D388">
        <v>11.12</v>
      </c>
      <c r="E388">
        <v>5.63</v>
      </c>
      <c r="F388">
        <v>23.61</v>
      </c>
      <c r="G388">
        <v>204.39</v>
      </c>
      <c r="H388">
        <v>46.03</v>
      </c>
      <c r="I388">
        <v>5.34</v>
      </c>
      <c r="J388" t="s">
        <v>80</v>
      </c>
      <c r="K388" t="s">
        <v>19</v>
      </c>
      <c r="L388">
        <v>40.32</v>
      </c>
      <c r="M388" s="5">
        <v>45316</v>
      </c>
      <c r="N388" s="5">
        <v>45462</v>
      </c>
      <c r="O388" s="5" t="str">
        <f>TEXT(Table1[[#This Row],[harvest_date]],"mmmm")</f>
        <v>June</v>
      </c>
      <c r="P388">
        <v>146</v>
      </c>
      <c r="Q388">
        <v>4228.09</v>
      </c>
      <c r="R388" t="s">
        <v>842</v>
      </c>
      <c r="S388" s="5">
        <v>45354</v>
      </c>
      <c r="T388">
        <v>31.335204000000001</v>
      </c>
      <c r="U388">
        <v>87.473913999999994</v>
      </c>
      <c r="V388">
        <v>0.66</v>
      </c>
      <c r="W388" t="s">
        <v>32</v>
      </c>
      <c r="X388">
        <v>146</v>
      </c>
      <c r="Y388" t="s">
        <v>62</v>
      </c>
      <c r="Z388" t="s">
        <v>82</v>
      </c>
    </row>
    <row r="389" spans="1:26" x14ac:dyDescent="0.35">
      <c r="A389" t="s">
        <v>843</v>
      </c>
      <c r="B389" t="s">
        <v>3</v>
      </c>
      <c r="C389" t="s">
        <v>11</v>
      </c>
      <c r="D389">
        <v>37.96</v>
      </c>
      <c r="E389">
        <v>7.43</v>
      </c>
      <c r="F389">
        <v>30.12</v>
      </c>
      <c r="G389">
        <v>293.66000000000003</v>
      </c>
      <c r="H389">
        <v>79.08</v>
      </c>
      <c r="I389">
        <v>7.66</v>
      </c>
      <c r="J389" t="s">
        <v>69</v>
      </c>
      <c r="K389" t="s">
        <v>17</v>
      </c>
      <c r="L389">
        <v>6.89</v>
      </c>
      <c r="M389" s="5">
        <v>45297</v>
      </c>
      <c r="N389" s="5">
        <v>45427</v>
      </c>
      <c r="O389" s="5" t="str">
        <f>TEXT(Table1[[#This Row],[harvest_date]],"mmmm")</f>
        <v>May</v>
      </c>
      <c r="P389">
        <v>130</v>
      </c>
      <c r="Q389">
        <v>2472.2399999999998</v>
      </c>
      <c r="R389" t="s">
        <v>844</v>
      </c>
      <c r="S389" s="5">
        <v>45349</v>
      </c>
      <c r="T389">
        <v>32.774644000000002</v>
      </c>
      <c r="U389">
        <v>73.140651000000005</v>
      </c>
      <c r="V389">
        <v>0.48</v>
      </c>
      <c r="W389" t="s">
        <v>33</v>
      </c>
      <c r="X389">
        <v>130</v>
      </c>
      <c r="Y389" t="s">
        <v>71</v>
      </c>
      <c r="Z389" t="s">
        <v>63</v>
      </c>
    </row>
    <row r="390" spans="1:26" x14ac:dyDescent="0.35">
      <c r="A390" t="s">
        <v>845</v>
      </c>
      <c r="B390" t="s">
        <v>2</v>
      </c>
      <c r="C390" t="s">
        <v>11</v>
      </c>
      <c r="D390">
        <v>35.64</v>
      </c>
      <c r="E390">
        <v>5.7</v>
      </c>
      <c r="F390">
        <v>27.94</v>
      </c>
      <c r="G390">
        <v>133.65</v>
      </c>
      <c r="H390">
        <v>46.89</v>
      </c>
      <c r="I390">
        <v>9.09</v>
      </c>
      <c r="J390" t="s">
        <v>32</v>
      </c>
      <c r="K390" t="s">
        <v>19</v>
      </c>
      <c r="L390">
        <v>39.61</v>
      </c>
      <c r="M390" s="5">
        <v>45299</v>
      </c>
      <c r="N390" s="5">
        <v>45442</v>
      </c>
      <c r="O390" s="5" t="str">
        <f>TEXT(Table1[[#This Row],[harvest_date]],"mmmm")</f>
        <v>May</v>
      </c>
      <c r="P390">
        <v>143</v>
      </c>
      <c r="Q390">
        <v>5236.58</v>
      </c>
      <c r="R390" t="s">
        <v>846</v>
      </c>
      <c r="S390" s="5">
        <v>45386</v>
      </c>
      <c r="T390">
        <v>17.168956999999999</v>
      </c>
      <c r="U390">
        <v>73.425235999999998</v>
      </c>
      <c r="V390">
        <v>0.46</v>
      </c>
      <c r="W390" t="s">
        <v>33</v>
      </c>
      <c r="X390">
        <v>143</v>
      </c>
      <c r="Y390" t="s">
        <v>67</v>
      </c>
      <c r="Z390" t="s">
        <v>82</v>
      </c>
    </row>
    <row r="391" spans="1:26" x14ac:dyDescent="0.35">
      <c r="A391" t="s">
        <v>847</v>
      </c>
      <c r="B391" t="s">
        <v>1</v>
      </c>
      <c r="C391" t="s">
        <v>10</v>
      </c>
      <c r="D391">
        <v>15.31</v>
      </c>
      <c r="E391">
        <v>7.01</v>
      </c>
      <c r="F391">
        <v>23.43</v>
      </c>
      <c r="G391">
        <v>107.05</v>
      </c>
      <c r="H391">
        <v>80.09</v>
      </c>
      <c r="I391">
        <v>6.48</v>
      </c>
      <c r="J391" t="s">
        <v>32</v>
      </c>
      <c r="K391" t="s">
        <v>19</v>
      </c>
      <c r="L391">
        <v>47.83</v>
      </c>
      <c r="M391" s="5">
        <v>45377</v>
      </c>
      <c r="N391" s="5">
        <v>45510</v>
      </c>
      <c r="O391" s="5" t="str">
        <f>TEXT(Table1[[#This Row],[harvest_date]],"mmmm")</f>
        <v>August</v>
      </c>
      <c r="P391">
        <v>133</v>
      </c>
      <c r="Q391">
        <v>3447.1</v>
      </c>
      <c r="R391" t="s">
        <v>848</v>
      </c>
      <c r="S391" s="5">
        <v>45384</v>
      </c>
      <c r="T391">
        <v>21.064467</v>
      </c>
      <c r="U391">
        <v>85.403036999999998</v>
      </c>
      <c r="V391">
        <v>0.73</v>
      </c>
      <c r="W391" t="s">
        <v>32</v>
      </c>
      <c r="X391">
        <v>133</v>
      </c>
      <c r="Y391" t="s">
        <v>62</v>
      </c>
      <c r="Z391" t="s">
        <v>82</v>
      </c>
    </row>
    <row r="392" spans="1:26" x14ac:dyDescent="0.35">
      <c r="A392" t="s">
        <v>849</v>
      </c>
      <c r="B392" t="s">
        <v>3</v>
      </c>
      <c r="C392" t="s">
        <v>14</v>
      </c>
      <c r="D392">
        <v>21.02</v>
      </c>
      <c r="E392">
        <v>7.46</v>
      </c>
      <c r="F392">
        <v>18.29</v>
      </c>
      <c r="G392">
        <v>65.37</v>
      </c>
      <c r="H392">
        <v>77.959999999999994</v>
      </c>
      <c r="I392">
        <v>7.96</v>
      </c>
      <c r="J392" t="s">
        <v>65</v>
      </c>
      <c r="K392" t="s">
        <v>17</v>
      </c>
      <c r="L392">
        <v>7.6</v>
      </c>
      <c r="M392" s="5">
        <v>45374</v>
      </c>
      <c r="N392" s="5">
        <v>45515</v>
      </c>
      <c r="O392" s="5" t="str">
        <f>TEXT(Table1[[#This Row],[harvest_date]],"mmmm")</f>
        <v>August</v>
      </c>
      <c r="P392">
        <v>141</v>
      </c>
      <c r="Q392">
        <v>4641.45</v>
      </c>
      <c r="R392" t="s">
        <v>850</v>
      </c>
      <c r="S392" s="5">
        <v>45507</v>
      </c>
      <c r="T392">
        <v>34.316529000000003</v>
      </c>
      <c r="U392">
        <v>78.386105999999998</v>
      </c>
      <c r="V392">
        <v>0.83</v>
      </c>
      <c r="W392" t="s">
        <v>31</v>
      </c>
      <c r="X392">
        <v>141</v>
      </c>
      <c r="Y392" t="s">
        <v>62</v>
      </c>
      <c r="Z392" t="s">
        <v>63</v>
      </c>
    </row>
    <row r="393" spans="1:26" x14ac:dyDescent="0.35">
      <c r="A393" t="s">
        <v>851</v>
      </c>
      <c r="B393" t="s">
        <v>1</v>
      </c>
      <c r="C393" t="s">
        <v>14</v>
      </c>
      <c r="D393">
        <v>10.28</v>
      </c>
      <c r="E393">
        <v>6.06</v>
      </c>
      <c r="F393">
        <v>25.56</v>
      </c>
      <c r="G393">
        <v>280.11</v>
      </c>
      <c r="H393">
        <v>75.010000000000005</v>
      </c>
      <c r="I393">
        <v>6.68</v>
      </c>
      <c r="J393" t="s">
        <v>65</v>
      </c>
      <c r="K393" t="s">
        <v>17</v>
      </c>
      <c r="L393">
        <v>33.1</v>
      </c>
      <c r="M393" s="5">
        <v>45372</v>
      </c>
      <c r="N393" s="5">
        <v>45490</v>
      </c>
      <c r="O393" s="5" t="str">
        <f>TEXT(Table1[[#This Row],[harvest_date]],"mmmm")</f>
        <v>July</v>
      </c>
      <c r="P393">
        <v>118</v>
      </c>
      <c r="Q393">
        <v>4789.88</v>
      </c>
      <c r="R393" t="s">
        <v>852</v>
      </c>
      <c r="S393" s="5">
        <v>45485</v>
      </c>
      <c r="T393">
        <v>30.295777000000001</v>
      </c>
      <c r="U393">
        <v>82.975139999999996</v>
      </c>
      <c r="V393">
        <v>0.77</v>
      </c>
      <c r="W393" t="s">
        <v>31</v>
      </c>
      <c r="X393">
        <v>118</v>
      </c>
      <c r="Y393" t="s">
        <v>62</v>
      </c>
      <c r="Z393" t="s">
        <v>72</v>
      </c>
    </row>
    <row r="394" spans="1:26" x14ac:dyDescent="0.35">
      <c r="A394" t="s">
        <v>853</v>
      </c>
      <c r="B394" t="s">
        <v>3</v>
      </c>
      <c r="C394" t="s">
        <v>13</v>
      </c>
      <c r="D394">
        <v>28.81</v>
      </c>
      <c r="E394">
        <v>6.28</v>
      </c>
      <c r="F394">
        <v>29.38</v>
      </c>
      <c r="G394">
        <v>269.97000000000003</v>
      </c>
      <c r="H394">
        <v>66.02</v>
      </c>
      <c r="I394">
        <v>7.24</v>
      </c>
      <c r="J394" t="s">
        <v>65</v>
      </c>
      <c r="K394" t="s">
        <v>18</v>
      </c>
      <c r="L394">
        <v>28.03</v>
      </c>
      <c r="M394" s="5">
        <v>45339</v>
      </c>
      <c r="N394" s="5">
        <v>45450</v>
      </c>
      <c r="O394" s="5" t="str">
        <f>TEXT(Table1[[#This Row],[harvest_date]],"mmmm")</f>
        <v>June</v>
      </c>
      <c r="P394">
        <v>111</v>
      </c>
      <c r="Q394">
        <v>5028.1899999999996</v>
      </c>
      <c r="R394" t="s">
        <v>854</v>
      </c>
      <c r="S394" s="5">
        <v>45359</v>
      </c>
      <c r="T394">
        <v>10.585544000000001</v>
      </c>
      <c r="U394">
        <v>87.806387000000001</v>
      </c>
      <c r="V394">
        <v>0.62</v>
      </c>
      <c r="W394" t="s">
        <v>31</v>
      </c>
      <c r="X394">
        <v>111</v>
      </c>
      <c r="Y394" t="s">
        <v>62</v>
      </c>
      <c r="Z394" t="s">
        <v>72</v>
      </c>
    </row>
    <row r="395" spans="1:26" x14ac:dyDescent="0.35">
      <c r="A395" t="s">
        <v>855</v>
      </c>
      <c r="B395" t="s">
        <v>4</v>
      </c>
      <c r="C395" t="s">
        <v>14</v>
      </c>
      <c r="D395">
        <v>35.43</v>
      </c>
      <c r="E395">
        <v>7.47</v>
      </c>
      <c r="F395">
        <v>17.21</v>
      </c>
      <c r="G395">
        <v>64.989999999999995</v>
      </c>
      <c r="H395">
        <v>58.65</v>
      </c>
      <c r="I395">
        <v>7.76</v>
      </c>
      <c r="J395" t="s">
        <v>80</v>
      </c>
      <c r="K395" t="s">
        <v>18</v>
      </c>
      <c r="L395">
        <v>7.15</v>
      </c>
      <c r="M395" s="5">
        <v>45355</v>
      </c>
      <c r="N395" s="5">
        <v>45473</v>
      </c>
      <c r="O395" s="5" t="str">
        <f>TEXT(Table1[[#This Row],[harvest_date]],"mmmm")</f>
        <v>June</v>
      </c>
      <c r="P395">
        <v>118</v>
      </c>
      <c r="Q395">
        <v>3191.84</v>
      </c>
      <c r="R395" t="s">
        <v>856</v>
      </c>
      <c r="S395" s="5">
        <v>45449</v>
      </c>
      <c r="T395">
        <v>10.130335000000001</v>
      </c>
      <c r="U395">
        <v>76.779606000000001</v>
      </c>
      <c r="V395">
        <v>0.44</v>
      </c>
      <c r="W395" t="s">
        <v>30</v>
      </c>
      <c r="X395">
        <v>118</v>
      </c>
      <c r="Y395" t="s">
        <v>62</v>
      </c>
      <c r="Z395" t="s">
        <v>63</v>
      </c>
    </row>
    <row r="396" spans="1:26" x14ac:dyDescent="0.35">
      <c r="A396" t="s">
        <v>857</v>
      </c>
      <c r="B396" t="s">
        <v>1</v>
      </c>
      <c r="C396" t="s">
        <v>14</v>
      </c>
      <c r="D396">
        <v>19.96</v>
      </c>
      <c r="E396">
        <v>7.07</v>
      </c>
      <c r="F396">
        <v>29.3</v>
      </c>
      <c r="G396">
        <v>218.11</v>
      </c>
      <c r="H396">
        <v>75.72</v>
      </c>
      <c r="I396">
        <v>7.12</v>
      </c>
      <c r="J396" t="s">
        <v>65</v>
      </c>
      <c r="K396" t="s">
        <v>18</v>
      </c>
      <c r="L396">
        <v>19.75</v>
      </c>
      <c r="M396" s="5">
        <v>45358</v>
      </c>
      <c r="N396" s="5">
        <v>45500</v>
      </c>
      <c r="O396" s="5" t="str">
        <f>TEXT(Table1[[#This Row],[harvest_date]],"mmmm")</f>
        <v>July</v>
      </c>
      <c r="P396">
        <v>142</v>
      </c>
      <c r="Q396">
        <v>5114.2</v>
      </c>
      <c r="R396" t="s">
        <v>858</v>
      </c>
      <c r="S396" s="5">
        <v>45474</v>
      </c>
      <c r="T396">
        <v>12.449695999999999</v>
      </c>
      <c r="U396">
        <v>84.232808000000006</v>
      </c>
      <c r="V396">
        <v>0.8</v>
      </c>
      <c r="W396" t="s">
        <v>32</v>
      </c>
      <c r="X396">
        <v>142</v>
      </c>
      <c r="Y396" t="s">
        <v>67</v>
      </c>
      <c r="Z396" t="s">
        <v>72</v>
      </c>
    </row>
    <row r="397" spans="1:26" x14ac:dyDescent="0.35">
      <c r="A397" t="s">
        <v>859</v>
      </c>
      <c r="B397" t="s">
        <v>3</v>
      </c>
      <c r="C397" t="s">
        <v>13</v>
      </c>
      <c r="D397">
        <v>24.87</v>
      </c>
      <c r="E397">
        <v>5.76</v>
      </c>
      <c r="F397">
        <v>19.3</v>
      </c>
      <c r="G397">
        <v>69.52</v>
      </c>
      <c r="H397">
        <v>73.84</v>
      </c>
      <c r="I397">
        <v>6.42</v>
      </c>
      <c r="J397" t="s">
        <v>32</v>
      </c>
      <c r="K397" t="s">
        <v>19</v>
      </c>
      <c r="L397">
        <v>31.29</v>
      </c>
      <c r="M397" s="5">
        <v>45365</v>
      </c>
      <c r="N397" s="5">
        <v>45483</v>
      </c>
      <c r="O397" s="5" t="str">
        <f>TEXT(Table1[[#This Row],[harvest_date]],"mmmm")</f>
        <v>July</v>
      </c>
      <c r="P397">
        <v>118</v>
      </c>
      <c r="Q397">
        <v>4756.07</v>
      </c>
      <c r="R397" t="s">
        <v>860</v>
      </c>
      <c r="S397" s="5">
        <v>45427</v>
      </c>
      <c r="T397">
        <v>28.292923999999999</v>
      </c>
      <c r="U397">
        <v>78.338447000000002</v>
      </c>
      <c r="V397">
        <v>0.4</v>
      </c>
      <c r="W397" t="s">
        <v>30</v>
      </c>
      <c r="X397">
        <v>118</v>
      </c>
      <c r="Y397" t="s">
        <v>62</v>
      </c>
      <c r="Z397" t="s">
        <v>72</v>
      </c>
    </row>
    <row r="398" spans="1:26" x14ac:dyDescent="0.35">
      <c r="A398" t="s">
        <v>861</v>
      </c>
      <c r="B398" t="s">
        <v>5</v>
      </c>
      <c r="C398" t="s">
        <v>11</v>
      </c>
      <c r="D398">
        <v>14.53</v>
      </c>
      <c r="E398">
        <v>6.91</v>
      </c>
      <c r="F398">
        <v>32.270000000000003</v>
      </c>
      <c r="G398">
        <v>79.510000000000005</v>
      </c>
      <c r="H398">
        <v>50.63</v>
      </c>
      <c r="I398">
        <v>6.84</v>
      </c>
      <c r="J398" t="s">
        <v>65</v>
      </c>
      <c r="K398" t="s">
        <v>17</v>
      </c>
      <c r="L398">
        <v>21.62</v>
      </c>
      <c r="M398" s="5">
        <v>45311</v>
      </c>
      <c r="N398" s="5">
        <v>45455</v>
      </c>
      <c r="O398" s="5" t="str">
        <f>TEXT(Table1[[#This Row],[harvest_date]],"mmmm")</f>
        <v>June</v>
      </c>
      <c r="P398">
        <v>144</v>
      </c>
      <c r="Q398">
        <v>3634.48</v>
      </c>
      <c r="R398" t="s">
        <v>862</v>
      </c>
      <c r="S398" s="5">
        <v>45341</v>
      </c>
      <c r="T398">
        <v>19.239649</v>
      </c>
      <c r="U398">
        <v>75.791811999999993</v>
      </c>
      <c r="V398">
        <v>0.61</v>
      </c>
      <c r="W398" t="s">
        <v>32</v>
      </c>
      <c r="X398">
        <v>144</v>
      </c>
      <c r="Y398" t="s">
        <v>62</v>
      </c>
      <c r="Z398" t="s">
        <v>72</v>
      </c>
    </row>
    <row r="399" spans="1:26" x14ac:dyDescent="0.35">
      <c r="A399" t="s">
        <v>863</v>
      </c>
      <c r="B399" t="s">
        <v>1</v>
      </c>
      <c r="C399" t="s">
        <v>14</v>
      </c>
      <c r="D399">
        <v>44.69</v>
      </c>
      <c r="E399">
        <v>6.11</v>
      </c>
      <c r="F399">
        <v>24.72</v>
      </c>
      <c r="G399">
        <v>247.8</v>
      </c>
      <c r="H399">
        <v>47.11</v>
      </c>
      <c r="I399">
        <v>7.54</v>
      </c>
      <c r="J399" t="s">
        <v>69</v>
      </c>
      <c r="K399" t="s">
        <v>19</v>
      </c>
      <c r="L399">
        <v>45.01</v>
      </c>
      <c r="M399" s="5">
        <v>45297</v>
      </c>
      <c r="N399" s="5">
        <v>45439</v>
      </c>
      <c r="O399" s="5" t="str">
        <f>TEXT(Table1[[#This Row],[harvest_date]],"mmmm")</f>
        <v>May</v>
      </c>
      <c r="P399">
        <v>142</v>
      </c>
      <c r="Q399">
        <v>4958.6400000000003</v>
      </c>
      <c r="R399" t="s">
        <v>864</v>
      </c>
      <c r="S399" s="5">
        <v>45297</v>
      </c>
      <c r="T399">
        <v>13.058198000000001</v>
      </c>
      <c r="U399">
        <v>76.972978999999995</v>
      </c>
      <c r="V399">
        <v>0.82</v>
      </c>
      <c r="W399" t="s">
        <v>33</v>
      </c>
      <c r="X399">
        <v>142</v>
      </c>
      <c r="Y399" t="s">
        <v>62</v>
      </c>
      <c r="Z399" t="s">
        <v>82</v>
      </c>
    </row>
    <row r="400" spans="1:26" x14ac:dyDescent="0.35">
      <c r="A400" t="s">
        <v>865</v>
      </c>
      <c r="B400" t="s">
        <v>5</v>
      </c>
      <c r="C400" t="s">
        <v>12</v>
      </c>
      <c r="D400">
        <v>20.84</v>
      </c>
      <c r="E400">
        <v>6.4</v>
      </c>
      <c r="F400">
        <v>21.76</v>
      </c>
      <c r="G400">
        <v>144.33000000000001</v>
      </c>
      <c r="H400">
        <v>81.72</v>
      </c>
      <c r="I400">
        <v>9</v>
      </c>
      <c r="J400" t="s">
        <v>65</v>
      </c>
      <c r="K400" t="s">
        <v>18</v>
      </c>
      <c r="L400">
        <v>27.71</v>
      </c>
      <c r="M400" s="5">
        <v>45347</v>
      </c>
      <c r="N400" s="5">
        <v>45465</v>
      </c>
      <c r="O400" s="5" t="str">
        <f>TEXT(Table1[[#This Row],[harvest_date]],"mmmm")</f>
        <v>June</v>
      </c>
      <c r="P400">
        <v>118</v>
      </c>
      <c r="Q400">
        <v>4668.88</v>
      </c>
      <c r="R400" t="s">
        <v>866</v>
      </c>
      <c r="S400" s="5">
        <v>45366</v>
      </c>
      <c r="T400">
        <v>31.658639000000001</v>
      </c>
      <c r="U400">
        <v>76.504326000000006</v>
      </c>
      <c r="V400">
        <v>0.78</v>
      </c>
      <c r="W400" t="s">
        <v>33</v>
      </c>
      <c r="X400">
        <v>118</v>
      </c>
      <c r="Y400" t="s">
        <v>62</v>
      </c>
      <c r="Z400" t="s">
        <v>72</v>
      </c>
    </row>
    <row r="401" spans="1:26" x14ac:dyDescent="0.35">
      <c r="A401" t="s">
        <v>867</v>
      </c>
      <c r="B401" t="s">
        <v>5</v>
      </c>
      <c r="C401" t="s">
        <v>10</v>
      </c>
      <c r="D401">
        <v>41.51</v>
      </c>
      <c r="E401">
        <v>6.18</v>
      </c>
      <c r="F401">
        <v>15.92</v>
      </c>
      <c r="G401">
        <v>217.61</v>
      </c>
      <c r="H401">
        <v>62.15</v>
      </c>
      <c r="I401">
        <v>5.66</v>
      </c>
      <c r="J401" t="s">
        <v>69</v>
      </c>
      <c r="K401" t="s">
        <v>18</v>
      </c>
      <c r="L401">
        <v>36.82</v>
      </c>
      <c r="M401" s="5">
        <v>45372</v>
      </c>
      <c r="N401" s="5">
        <v>45512</v>
      </c>
      <c r="O401" s="5" t="str">
        <f>TEXT(Table1[[#This Row],[harvest_date]],"mmmm")</f>
        <v>August</v>
      </c>
      <c r="P401">
        <v>140</v>
      </c>
      <c r="Q401">
        <v>5086.38</v>
      </c>
      <c r="R401" t="s">
        <v>868</v>
      </c>
      <c r="S401" s="5">
        <v>45451</v>
      </c>
      <c r="T401">
        <v>24.026109000000002</v>
      </c>
      <c r="U401">
        <v>72.475632000000004</v>
      </c>
      <c r="V401">
        <v>0.64</v>
      </c>
      <c r="W401" t="s">
        <v>30</v>
      </c>
      <c r="X401">
        <v>140</v>
      </c>
      <c r="Y401" t="s">
        <v>67</v>
      </c>
      <c r="Z401" t="s">
        <v>72</v>
      </c>
    </row>
    <row r="402" spans="1:26" x14ac:dyDescent="0.35">
      <c r="A402" t="s">
        <v>869</v>
      </c>
      <c r="B402" t="s">
        <v>2</v>
      </c>
      <c r="C402" t="s">
        <v>12</v>
      </c>
      <c r="D402">
        <v>30.19</v>
      </c>
      <c r="E402">
        <v>5.61</v>
      </c>
      <c r="F402">
        <v>26.4</v>
      </c>
      <c r="G402">
        <v>97.35</v>
      </c>
      <c r="H402">
        <v>63.79</v>
      </c>
      <c r="I402">
        <v>9.3800000000000008</v>
      </c>
      <c r="J402" t="s">
        <v>69</v>
      </c>
      <c r="K402" t="s">
        <v>17</v>
      </c>
      <c r="L402">
        <v>47.13</v>
      </c>
      <c r="M402" s="5">
        <v>45292</v>
      </c>
      <c r="N402" s="5">
        <v>45399</v>
      </c>
      <c r="O402" s="5" t="str">
        <f>TEXT(Table1[[#This Row],[harvest_date]],"mmmm")</f>
        <v>April</v>
      </c>
      <c r="P402">
        <v>107</v>
      </c>
      <c r="Q402">
        <v>5147.03</v>
      </c>
      <c r="R402" t="s">
        <v>870</v>
      </c>
      <c r="S402" s="5">
        <v>45323</v>
      </c>
      <c r="T402">
        <v>30.742263999999999</v>
      </c>
      <c r="U402">
        <v>86.778349000000006</v>
      </c>
      <c r="V402">
        <v>0.65</v>
      </c>
      <c r="W402" t="s">
        <v>32</v>
      </c>
      <c r="X402">
        <v>107</v>
      </c>
      <c r="Y402" t="s">
        <v>67</v>
      </c>
      <c r="Z402" t="s">
        <v>82</v>
      </c>
    </row>
    <row r="403" spans="1:26" x14ac:dyDescent="0.35">
      <c r="A403" t="s">
        <v>871</v>
      </c>
      <c r="B403" t="s">
        <v>2</v>
      </c>
      <c r="C403" t="s">
        <v>12</v>
      </c>
      <c r="D403">
        <v>21.22</v>
      </c>
      <c r="E403">
        <v>6.68</v>
      </c>
      <c r="F403">
        <v>24.83</v>
      </c>
      <c r="G403">
        <v>283.45999999999998</v>
      </c>
      <c r="H403">
        <v>57</v>
      </c>
      <c r="I403">
        <v>5.08</v>
      </c>
      <c r="J403" t="s">
        <v>69</v>
      </c>
      <c r="K403" t="s">
        <v>17</v>
      </c>
      <c r="L403">
        <v>19.28</v>
      </c>
      <c r="M403" s="5">
        <v>45325</v>
      </c>
      <c r="N403" s="5">
        <v>45422</v>
      </c>
      <c r="O403" s="5" t="str">
        <f>TEXT(Table1[[#This Row],[harvest_date]],"mmmm")</f>
        <v>May</v>
      </c>
      <c r="P403">
        <v>97</v>
      </c>
      <c r="Q403">
        <v>5919.14</v>
      </c>
      <c r="R403" t="s">
        <v>872</v>
      </c>
      <c r="S403" s="5">
        <v>45394</v>
      </c>
      <c r="T403">
        <v>14.203900000000001</v>
      </c>
      <c r="U403">
        <v>72.880685</v>
      </c>
      <c r="V403">
        <v>0.45</v>
      </c>
      <c r="W403" t="s">
        <v>32</v>
      </c>
      <c r="X403">
        <v>97</v>
      </c>
      <c r="Y403" t="s">
        <v>67</v>
      </c>
      <c r="Z403" t="s">
        <v>72</v>
      </c>
    </row>
    <row r="404" spans="1:26" x14ac:dyDescent="0.35">
      <c r="A404" t="s">
        <v>873</v>
      </c>
      <c r="B404" t="s">
        <v>4</v>
      </c>
      <c r="C404" t="s">
        <v>14</v>
      </c>
      <c r="D404">
        <v>43.33</v>
      </c>
      <c r="E404">
        <v>6.86</v>
      </c>
      <c r="F404">
        <v>16.18</v>
      </c>
      <c r="G404">
        <v>290.27999999999997</v>
      </c>
      <c r="H404">
        <v>49.07</v>
      </c>
      <c r="I404">
        <v>8.2799999999999994</v>
      </c>
      <c r="J404" t="s">
        <v>80</v>
      </c>
      <c r="K404" t="s">
        <v>19</v>
      </c>
      <c r="L404">
        <v>9.44</v>
      </c>
      <c r="M404" s="5">
        <v>45305</v>
      </c>
      <c r="N404" s="5">
        <v>45452</v>
      </c>
      <c r="O404" s="5" t="str">
        <f>TEXT(Table1[[#This Row],[harvest_date]],"mmmm")</f>
        <v>June</v>
      </c>
      <c r="P404">
        <v>147</v>
      </c>
      <c r="Q404">
        <v>3296.87</v>
      </c>
      <c r="R404" t="s">
        <v>874</v>
      </c>
      <c r="S404" s="5">
        <v>45401</v>
      </c>
      <c r="T404">
        <v>33.539437999999997</v>
      </c>
      <c r="U404">
        <v>87.990030000000004</v>
      </c>
      <c r="V404">
        <v>0.33</v>
      </c>
      <c r="W404" t="s">
        <v>30</v>
      </c>
      <c r="X404">
        <v>147</v>
      </c>
      <c r="Y404" t="s">
        <v>62</v>
      </c>
      <c r="Z404" t="s">
        <v>63</v>
      </c>
    </row>
    <row r="405" spans="1:26" x14ac:dyDescent="0.35">
      <c r="A405" t="s">
        <v>875</v>
      </c>
      <c r="B405" t="s">
        <v>2</v>
      </c>
      <c r="C405" t="s">
        <v>12</v>
      </c>
      <c r="D405">
        <v>18.28</v>
      </c>
      <c r="E405">
        <v>6.52</v>
      </c>
      <c r="F405">
        <v>25.09</v>
      </c>
      <c r="G405">
        <v>287.33999999999997</v>
      </c>
      <c r="H405">
        <v>53.46</v>
      </c>
      <c r="I405">
        <v>5.91</v>
      </c>
      <c r="J405" t="s">
        <v>32</v>
      </c>
      <c r="K405" t="s">
        <v>18</v>
      </c>
      <c r="L405">
        <v>26.79</v>
      </c>
      <c r="M405" s="5">
        <v>45343</v>
      </c>
      <c r="N405" s="5">
        <v>45447</v>
      </c>
      <c r="O405" s="5" t="str">
        <f>TEXT(Table1[[#This Row],[harvest_date]],"mmmm")</f>
        <v>June</v>
      </c>
      <c r="P405">
        <v>104</v>
      </c>
      <c r="Q405">
        <v>5654.94</v>
      </c>
      <c r="R405" t="s">
        <v>876</v>
      </c>
      <c r="S405" s="5">
        <v>45345</v>
      </c>
      <c r="T405">
        <v>16.728992999999999</v>
      </c>
      <c r="U405">
        <v>89.269493999999995</v>
      </c>
      <c r="V405">
        <v>0.71</v>
      </c>
      <c r="W405" t="s">
        <v>30</v>
      </c>
      <c r="X405">
        <v>104</v>
      </c>
      <c r="Y405" t="s">
        <v>67</v>
      </c>
      <c r="Z405" t="s">
        <v>72</v>
      </c>
    </row>
    <row r="406" spans="1:26" x14ac:dyDescent="0.35">
      <c r="A406" t="s">
        <v>877</v>
      </c>
      <c r="B406" t="s">
        <v>2</v>
      </c>
      <c r="C406" t="s">
        <v>10</v>
      </c>
      <c r="D406">
        <v>20.66</v>
      </c>
      <c r="E406">
        <v>6.31</v>
      </c>
      <c r="F406">
        <v>16.68</v>
      </c>
      <c r="G406">
        <v>208.95</v>
      </c>
      <c r="H406">
        <v>50.17</v>
      </c>
      <c r="I406">
        <v>9.81</v>
      </c>
      <c r="J406" t="s">
        <v>80</v>
      </c>
      <c r="K406" t="s">
        <v>17</v>
      </c>
      <c r="L406">
        <v>49.34</v>
      </c>
      <c r="M406" s="5">
        <v>45309</v>
      </c>
      <c r="N406" s="5">
        <v>45459</v>
      </c>
      <c r="O406" s="5" t="str">
        <f>TEXT(Table1[[#This Row],[harvest_date]],"mmmm")</f>
        <v>June</v>
      </c>
      <c r="P406">
        <v>150</v>
      </c>
      <c r="Q406">
        <v>3695.01</v>
      </c>
      <c r="R406" t="s">
        <v>878</v>
      </c>
      <c r="S406" s="5">
        <v>45451</v>
      </c>
      <c r="T406">
        <v>21.29355</v>
      </c>
      <c r="U406">
        <v>70.020021</v>
      </c>
      <c r="V406">
        <v>0.57999999999999996</v>
      </c>
      <c r="W406" t="s">
        <v>31</v>
      </c>
      <c r="X406">
        <v>150</v>
      </c>
      <c r="Y406" t="s">
        <v>62</v>
      </c>
      <c r="Z406" t="s">
        <v>82</v>
      </c>
    </row>
    <row r="407" spans="1:26" x14ac:dyDescent="0.35">
      <c r="A407" t="s">
        <v>879</v>
      </c>
      <c r="B407" t="s">
        <v>4</v>
      </c>
      <c r="C407" t="s">
        <v>13</v>
      </c>
      <c r="D407">
        <v>12.11</v>
      </c>
      <c r="E407">
        <v>7.34</v>
      </c>
      <c r="F407">
        <v>20.47</v>
      </c>
      <c r="G407">
        <v>112.72</v>
      </c>
      <c r="H407">
        <v>74</v>
      </c>
      <c r="I407">
        <v>10</v>
      </c>
      <c r="J407" t="s">
        <v>65</v>
      </c>
      <c r="K407" t="s">
        <v>17</v>
      </c>
      <c r="L407">
        <v>42.83</v>
      </c>
      <c r="M407" s="5">
        <v>45324</v>
      </c>
      <c r="N407" s="5">
        <v>45424</v>
      </c>
      <c r="O407" s="5" t="str">
        <f>TEXT(Table1[[#This Row],[harvest_date]],"mmmm")</f>
        <v>May</v>
      </c>
      <c r="P407">
        <v>100</v>
      </c>
      <c r="Q407">
        <v>4956.7299999999996</v>
      </c>
      <c r="R407" t="s">
        <v>880</v>
      </c>
      <c r="S407" s="5">
        <v>45396</v>
      </c>
      <c r="T407">
        <v>11.748379999999999</v>
      </c>
      <c r="U407">
        <v>71.794302000000002</v>
      </c>
      <c r="V407">
        <v>0.72</v>
      </c>
      <c r="W407" t="s">
        <v>30</v>
      </c>
      <c r="X407">
        <v>100</v>
      </c>
      <c r="Y407" t="s">
        <v>62</v>
      </c>
      <c r="Z407" t="s">
        <v>82</v>
      </c>
    </row>
    <row r="408" spans="1:26" x14ac:dyDescent="0.35">
      <c r="A408" t="s">
        <v>881</v>
      </c>
      <c r="B408" t="s">
        <v>2</v>
      </c>
      <c r="C408" t="s">
        <v>14</v>
      </c>
      <c r="D408">
        <v>40.74</v>
      </c>
      <c r="E408">
        <v>5.92</v>
      </c>
      <c r="F408">
        <v>25.1</v>
      </c>
      <c r="G408">
        <v>250.51</v>
      </c>
      <c r="H408">
        <v>84.2</v>
      </c>
      <c r="I408">
        <v>9.67</v>
      </c>
      <c r="J408" t="s">
        <v>80</v>
      </c>
      <c r="K408" t="s">
        <v>17</v>
      </c>
      <c r="L408">
        <v>25.37</v>
      </c>
      <c r="M408" s="5">
        <v>45313</v>
      </c>
      <c r="N408" s="5">
        <v>45423</v>
      </c>
      <c r="O408" s="5" t="str">
        <f>TEXT(Table1[[#This Row],[harvest_date]],"mmmm")</f>
        <v>May</v>
      </c>
      <c r="P408">
        <v>110</v>
      </c>
      <c r="Q408">
        <v>3366.52</v>
      </c>
      <c r="R408" t="s">
        <v>882</v>
      </c>
      <c r="S408" s="5">
        <v>45371</v>
      </c>
      <c r="T408">
        <v>33.974817000000002</v>
      </c>
      <c r="U408">
        <v>76.569145000000006</v>
      </c>
      <c r="V408">
        <v>0.85</v>
      </c>
      <c r="W408" t="s">
        <v>30</v>
      </c>
      <c r="X408">
        <v>110</v>
      </c>
      <c r="Y408" t="s">
        <v>62</v>
      </c>
      <c r="Z408" t="s">
        <v>72</v>
      </c>
    </row>
    <row r="409" spans="1:26" x14ac:dyDescent="0.35">
      <c r="A409" t="s">
        <v>883</v>
      </c>
      <c r="B409" t="s">
        <v>3</v>
      </c>
      <c r="C409" t="s">
        <v>12</v>
      </c>
      <c r="D409">
        <v>26.68</v>
      </c>
      <c r="E409">
        <v>7.3</v>
      </c>
      <c r="F409">
        <v>28.45</v>
      </c>
      <c r="G409">
        <v>153.29</v>
      </c>
      <c r="H409">
        <v>84.76</v>
      </c>
      <c r="I409">
        <v>8.2200000000000006</v>
      </c>
      <c r="J409" t="s">
        <v>32</v>
      </c>
      <c r="K409" t="s">
        <v>17</v>
      </c>
      <c r="L409">
        <v>8.65</v>
      </c>
      <c r="M409" s="5">
        <v>45372</v>
      </c>
      <c r="N409" s="5">
        <v>45466</v>
      </c>
      <c r="O409" s="5" t="str">
        <f>TEXT(Table1[[#This Row],[harvest_date]],"mmmm")</f>
        <v>June</v>
      </c>
      <c r="P409">
        <v>94</v>
      </c>
      <c r="Q409">
        <v>4154.6000000000004</v>
      </c>
      <c r="R409" t="s">
        <v>884</v>
      </c>
      <c r="S409" s="5">
        <v>45457</v>
      </c>
      <c r="T409">
        <v>21.129418999999999</v>
      </c>
      <c r="U409">
        <v>72.468311999999997</v>
      </c>
      <c r="V409">
        <v>0.88</v>
      </c>
      <c r="W409" t="s">
        <v>33</v>
      </c>
      <c r="X409">
        <v>94</v>
      </c>
      <c r="Y409" t="s">
        <v>62</v>
      </c>
      <c r="Z409" t="s">
        <v>63</v>
      </c>
    </row>
    <row r="410" spans="1:26" x14ac:dyDescent="0.35">
      <c r="A410" t="s">
        <v>885</v>
      </c>
      <c r="B410" t="s">
        <v>2</v>
      </c>
      <c r="C410" t="s">
        <v>14</v>
      </c>
      <c r="D410">
        <v>23.54</v>
      </c>
      <c r="E410">
        <v>7.18</v>
      </c>
      <c r="F410">
        <v>31.24</v>
      </c>
      <c r="G410">
        <v>295.95</v>
      </c>
      <c r="H410">
        <v>46.24</v>
      </c>
      <c r="I410">
        <v>6.22</v>
      </c>
      <c r="J410" t="s">
        <v>65</v>
      </c>
      <c r="K410" t="s">
        <v>19</v>
      </c>
      <c r="L410">
        <v>5.42</v>
      </c>
      <c r="M410" s="5">
        <v>45352</v>
      </c>
      <c r="N410" s="5">
        <v>45490</v>
      </c>
      <c r="O410" s="5" t="str">
        <f>TEXT(Table1[[#This Row],[harvest_date]],"mmmm")</f>
        <v>July</v>
      </c>
      <c r="P410">
        <v>138</v>
      </c>
      <c r="Q410">
        <v>3124.54</v>
      </c>
      <c r="R410" t="s">
        <v>886</v>
      </c>
      <c r="S410" s="5">
        <v>45443</v>
      </c>
      <c r="T410">
        <v>14.787792</v>
      </c>
      <c r="U410">
        <v>86.325615999999997</v>
      </c>
      <c r="V410">
        <v>0.68</v>
      </c>
      <c r="W410" t="s">
        <v>30</v>
      </c>
      <c r="X410">
        <v>138</v>
      </c>
      <c r="Y410" t="s">
        <v>62</v>
      </c>
      <c r="Z410" t="s">
        <v>63</v>
      </c>
    </row>
    <row r="411" spans="1:26" x14ac:dyDescent="0.35">
      <c r="A411" t="s">
        <v>887</v>
      </c>
      <c r="B411" t="s">
        <v>4</v>
      </c>
      <c r="C411" t="s">
        <v>11</v>
      </c>
      <c r="D411">
        <v>43.86</v>
      </c>
      <c r="E411">
        <v>5.57</v>
      </c>
      <c r="F411">
        <v>24.86</v>
      </c>
      <c r="G411">
        <v>226.01</v>
      </c>
      <c r="H411">
        <v>70.3</v>
      </c>
      <c r="I411">
        <v>4.04</v>
      </c>
      <c r="J411" t="s">
        <v>32</v>
      </c>
      <c r="K411" t="s">
        <v>18</v>
      </c>
      <c r="L411">
        <v>44.15</v>
      </c>
      <c r="M411" s="5">
        <v>45368</v>
      </c>
      <c r="N411" s="5">
        <v>45489</v>
      </c>
      <c r="O411" s="5" t="str">
        <f>TEXT(Table1[[#This Row],[harvest_date]],"mmmm")</f>
        <v>July</v>
      </c>
      <c r="P411">
        <v>121</v>
      </c>
      <c r="Q411">
        <v>2681.91</v>
      </c>
      <c r="R411" t="s">
        <v>888</v>
      </c>
      <c r="S411" s="5">
        <v>45392</v>
      </c>
      <c r="T411">
        <v>26.495961000000001</v>
      </c>
      <c r="U411">
        <v>81.314141000000006</v>
      </c>
      <c r="V411">
        <v>0.71</v>
      </c>
      <c r="W411" t="s">
        <v>30</v>
      </c>
      <c r="X411">
        <v>121</v>
      </c>
      <c r="Y411" t="s">
        <v>71</v>
      </c>
      <c r="Z411" t="s">
        <v>82</v>
      </c>
    </row>
    <row r="412" spans="1:26" x14ac:dyDescent="0.35">
      <c r="A412" t="s">
        <v>889</v>
      </c>
      <c r="B412" t="s">
        <v>3</v>
      </c>
      <c r="C412" t="s">
        <v>12</v>
      </c>
      <c r="D412">
        <v>14.49</v>
      </c>
      <c r="E412">
        <v>5.63</v>
      </c>
      <c r="F412">
        <v>20.190000000000001</v>
      </c>
      <c r="G412">
        <v>192.48</v>
      </c>
      <c r="H412">
        <v>51.4</v>
      </c>
      <c r="I412">
        <v>7.14</v>
      </c>
      <c r="J412" t="s">
        <v>80</v>
      </c>
      <c r="K412" t="s">
        <v>18</v>
      </c>
      <c r="L412">
        <v>43.15</v>
      </c>
      <c r="M412" s="5">
        <v>45314</v>
      </c>
      <c r="N412" s="5">
        <v>45447</v>
      </c>
      <c r="O412" s="5" t="str">
        <f>TEXT(Table1[[#This Row],[harvest_date]],"mmmm")</f>
        <v>June</v>
      </c>
      <c r="P412">
        <v>133</v>
      </c>
      <c r="Q412">
        <v>4131.7700000000004</v>
      </c>
      <c r="R412" t="s">
        <v>890</v>
      </c>
      <c r="S412" s="5">
        <v>45378</v>
      </c>
      <c r="T412">
        <v>27.017009000000002</v>
      </c>
      <c r="U412">
        <v>87.662038999999993</v>
      </c>
      <c r="V412">
        <v>0.3</v>
      </c>
      <c r="W412" t="s">
        <v>33</v>
      </c>
      <c r="X412">
        <v>133</v>
      </c>
      <c r="Y412" t="s">
        <v>62</v>
      </c>
      <c r="Z412" t="s">
        <v>82</v>
      </c>
    </row>
    <row r="413" spans="1:26" x14ac:dyDescent="0.35">
      <c r="A413" t="s">
        <v>891</v>
      </c>
      <c r="B413" t="s">
        <v>3</v>
      </c>
      <c r="C413" t="s">
        <v>14</v>
      </c>
      <c r="D413">
        <v>25.14</v>
      </c>
      <c r="E413">
        <v>7.49</v>
      </c>
      <c r="F413">
        <v>20.48</v>
      </c>
      <c r="G413">
        <v>220.04</v>
      </c>
      <c r="H413">
        <v>63.33</v>
      </c>
      <c r="I413">
        <v>6.17</v>
      </c>
      <c r="J413" t="s">
        <v>69</v>
      </c>
      <c r="K413" t="s">
        <v>17</v>
      </c>
      <c r="L413">
        <v>15.1</v>
      </c>
      <c r="M413" s="5">
        <v>45336</v>
      </c>
      <c r="N413" s="5">
        <v>45460</v>
      </c>
      <c r="O413" s="5" t="str">
        <f>TEXT(Table1[[#This Row],[harvest_date]],"mmmm")</f>
        <v>June</v>
      </c>
      <c r="P413">
        <v>124</v>
      </c>
      <c r="Q413">
        <v>3795.45</v>
      </c>
      <c r="R413" t="s">
        <v>892</v>
      </c>
      <c r="S413" s="5">
        <v>45336</v>
      </c>
      <c r="T413">
        <v>19.796472000000001</v>
      </c>
      <c r="U413">
        <v>76.694115999999994</v>
      </c>
      <c r="V413">
        <v>0.83</v>
      </c>
      <c r="W413" t="s">
        <v>32</v>
      </c>
      <c r="X413">
        <v>124</v>
      </c>
      <c r="Y413" t="s">
        <v>62</v>
      </c>
      <c r="Z413" t="s">
        <v>72</v>
      </c>
    </row>
    <row r="414" spans="1:26" x14ac:dyDescent="0.35">
      <c r="A414" t="s">
        <v>893</v>
      </c>
      <c r="B414" t="s">
        <v>4</v>
      </c>
      <c r="C414" t="s">
        <v>11</v>
      </c>
      <c r="D414">
        <v>43.52</v>
      </c>
      <c r="E414">
        <v>7.33</v>
      </c>
      <c r="F414">
        <v>18.940000000000001</v>
      </c>
      <c r="G414">
        <v>132.31</v>
      </c>
      <c r="H414">
        <v>43.14</v>
      </c>
      <c r="I414">
        <v>7.75</v>
      </c>
      <c r="J414" t="s">
        <v>69</v>
      </c>
      <c r="K414" t="s">
        <v>19</v>
      </c>
      <c r="L414">
        <v>24.44</v>
      </c>
      <c r="M414" s="5">
        <v>45310</v>
      </c>
      <c r="N414" s="5">
        <v>45451</v>
      </c>
      <c r="O414" s="5" t="str">
        <f>TEXT(Table1[[#This Row],[harvest_date]],"mmmm")</f>
        <v>June</v>
      </c>
      <c r="P414">
        <v>141</v>
      </c>
      <c r="Q414">
        <v>4505.1899999999996</v>
      </c>
      <c r="R414" t="s">
        <v>894</v>
      </c>
      <c r="S414" s="5">
        <v>45395</v>
      </c>
      <c r="T414">
        <v>31.012689999999999</v>
      </c>
      <c r="U414">
        <v>74.943071000000003</v>
      </c>
      <c r="V414">
        <v>0.57999999999999996</v>
      </c>
      <c r="W414" t="s">
        <v>31</v>
      </c>
      <c r="X414">
        <v>141</v>
      </c>
      <c r="Y414" t="s">
        <v>62</v>
      </c>
      <c r="Z414" t="s">
        <v>72</v>
      </c>
    </row>
    <row r="415" spans="1:26" x14ac:dyDescent="0.35">
      <c r="A415" t="s">
        <v>895</v>
      </c>
      <c r="B415" t="s">
        <v>3</v>
      </c>
      <c r="C415" t="s">
        <v>14</v>
      </c>
      <c r="D415">
        <v>28.19</v>
      </c>
      <c r="E415">
        <v>5.97</v>
      </c>
      <c r="F415">
        <v>16.46</v>
      </c>
      <c r="G415">
        <v>199.99</v>
      </c>
      <c r="H415">
        <v>61.93</v>
      </c>
      <c r="I415">
        <v>4.57</v>
      </c>
      <c r="J415" t="s">
        <v>32</v>
      </c>
      <c r="K415" t="s">
        <v>17</v>
      </c>
      <c r="L415">
        <v>10.62</v>
      </c>
      <c r="M415" s="5">
        <v>45293</v>
      </c>
      <c r="N415" s="5">
        <v>45407</v>
      </c>
      <c r="O415" s="5" t="str">
        <f>TEXT(Table1[[#This Row],[harvest_date]],"mmmm")</f>
        <v>April</v>
      </c>
      <c r="P415">
        <v>114</v>
      </c>
      <c r="Q415">
        <v>3253.12</v>
      </c>
      <c r="R415" t="s">
        <v>896</v>
      </c>
      <c r="S415" s="5">
        <v>45401</v>
      </c>
      <c r="T415">
        <v>27.334091999999998</v>
      </c>
      <c r="U415">
        <v>85.652924999999996</v>
      </c>
      <c r="V415">
        <v>0.34</v>
      </c>
      <c r="W415" t="s">
        <v>33</v>
      </c>
      <c r="X415">
        <v>114</v>
      </c>
      <c r="Y415" t="s">
        <v>62</v>
      </c>
      <c r="Z415" t="s">
        <v>63</v>
      </c>
    </row>
    <row r="416" spans="1:26" x14ac:dyDescent="0.35">
      <c r="A416" t="s">
        <v>897</v>
      </c>
      <c r="B416" t="s">
        <v>3</v>
      </c>
      <c r="C416" t="s">
        <v>14</v>
      </c>
      <c r="D416">
        <v>31.38</v>
      </c>
      <c r="E416">
        <v>6.36</v>
      </c>
      <c r="F416">
        <v>17.04</v>
      </c>
      <c r="G416">
        <v>63.95</v>
      </c>
      <c r="H416">
        <v>42.61</v>
      </c>
      <c r="I416">
        <v>9.1</v>
      </c>
      <c r="J416" t="s">
        <v>32</v>
      </c>
      <c r="K416" t="s">
        <v>18</v>
      </c>
      <c r="L416">
        <v>32.78</v>
      </c>
      <c r="M416" s="5">
        <v>45330</v>
      </c>
      <c r="N416" s="5">
        <v>45475</v>
      </c>
      <c r="O416" s="5" t="str">
        <f>TEXT(Table1[[#This Row],[harvest_date]],"mmmm")</f>
        <v>July</v>
      </c>
      <c r="P416">
        <v>145</v>
      </c>
      <c r="Q416">
        <v>4398.3</v>
      </c>
      <c r="R416" t="s">
        <v>898</v>
      </c>
      <c r="S416" s="5">
        <v>45332</v>
      </c>
      <c r="T416">
        <v>21.335280999999998</v>
      </c>
      <c r="U416">
        <v>79.284182000000001</v>
      </c>
      <c r="V416">
        <v>0.56000000000000005</v>
      </c>
      <c r="W416" t="s">
        <v>32</v>
      </c>
      <c r="X416">
        <v>145</v>
      </c>
      <c r="Y416" t="s">
        <v>62</v>
      </c>
      <c r="Z416" t="s">
        <v>72</v>
      </c>
    </row>
    <row r="417" spans="1:26" x14ac:dyDescent="0.35">
      <c r="A417" t="s">
        <v>899</v>
      </c>
      <c r="B417" t="s">
        <v>1</v>
      </c>
      <c r="C417" t="s">
        <v>13</v>
      </c>
      <c r="D417">
        <v>25.89</v>
      </c>
      <c r="E417">
        <v>6.16</v>
      </c>
      <c r="F417">
        <v>18.850000000000001</v>
      </c>
      <c r="G417">
        <v>75.67</v>
      </c>
      <c r="H417">
        <v>69.760000000000005</v>
      </c>
      <c r="I417">
        <v>4.41</v>
      </c>
      <c r="J417" t="s">
        <v>65</v>
      </c>
      <c r="K417" t="s">
        <v>17</v>
      </c>
      <c r="L417">
        <v>10.67</v>
      </c>
      <c r="M417" s="5">
        <v>45360</v>
      </c>
      <c r="N417" s="5">
        <v>45472</v>
      </c>
      <c r="O417" s="5" t="str">
        <f>TEXT(Table1[[#This Row],[harvest_date]],"mmmm")</f>
        <v>June</v>
      </c>
      <c r="P417">
        <v>112</v>
      </c>
      <c r="Q417">
        <v>3684.03</v>
      </c>
      <c r="R417" t="s">
        <v>900</v>
      </c>
      <c r="S417" s="5">
        <v>45452</v>
      </c>
      <c r="T417">
        <v>25.521272</v>
      </c>
      <c r="U417">
        <v>73.718468000000001</v>
      </c>
      <c r="V417">
        <v>0.38</v>
      </c>
      <c r="W417" t="s">
        <v>32</v>
      </c>
      <c r="X417">
        <v>112</v>
      </c>
      <c r="Y417" t="s">
        <v>62</v>
      </c>
      <c r="Z417" t="s">
        <v>63</v>
      </c>
    </row>
    <row r="418" spans="1:26" x14ac:dyDescent="0.35">
      <c r="A418" t="s">
        <v>901</v>
      </c>
      <c r="B418" t="s">
        <v>3</v>
      </c>
      <c r="C418" t="s">
        <v>10</v>
      </c>
      <c r="D418">
        <v>20.91</v>
      </c>
      <c r="E418">
        <v>6.37</v>
      </c>
      <c r="F418">
        <v>34.19</v>
      </c>
      <c r="G418">
        <v>238.59</v>
      </c>
      <c r="H418">
        <v>55.56</v>
      </c>
      <c r="I418">
        <v>9.31</v>
      </c>
      <c r="J418" t="s">
        <v>65</v>
      </c>
      <c r="K418" t="s">
        <v>18</v>
      </c>
      <c r="L418">
        <v>26.13</v>
      </c>
      <c r="M418" s="5">
        <v>45362</v>
      </c>
      <c r="N418" s="5">
        <v>45470</v>
      </c>
      <c r="O418" s="5" t="str">
        <f>TEXT(Table1[[#This Row],[harvest_date]],"mmmm")</f>
        <v>June</v>
      </c>
      <c r="P418">
        <v>108</v>
      </c>
      <c r="Q418">
        <v>3475.32</v>
      </c>
      <c r="R418" t="s">
        <v>902</v>
      </c>
      <c r="S418" s="5">
        <v>45363</v>
      </c>
      <c r="T418">
        <v>22.942015000000001</v>
      </c>
      <c r="U418">
        <v>83.153536000000003</v>
      </c>
      <c r="V418">
        <v>0.39</v>
      </c>
      <c r="W418" t="s">
        <v>30</v>
      </c>
      <c r="X418">
        <v>108</v>
      </c>
      <c r="Y418" t="s">
        <v>62</v>
      </c>
      <c r="Z418" t="s">
        <v>72</v>
      </c>
    </row>
    <row r="419" spans="1:26" x14ac:dyDescent="0.35">
      <c r="A419" t="s">
        <v>903</v>
      </c>
      <c r="B419" t="s">
        <v>2</v>
      </c>
      <c r="C419" t="s">
        <v>12</v>
      </c>
      <c r="D419">
        <v>40.049999999999997</v>
      </c>
      <c r="E419">
        <v>6.34</v>
      </c>
      <c r="F419">
        <v>18.91</v>
      </c>
      <c r="G419">
        <v>100.09</v>
      </c>
      <c r="H419">
        <v>85.43</v>
      </c>
      <c r="I419">
        <v>8.7100000000000009</v>
      </c>
      <c r="J419" t="s">
        <v>80</v>
      </c>
      <c r="K419" t="s">
        <v>18</v>
      </c>
      <c r="L419">
        <v>35.049999999999997</v>
      </c>
      <c r="M419" s="5">
        <v>45374</v>
      </c>
      <c r="N419" s="5">
        <v>45493</v>
      </c>
      <c r="O419" s="5" t="str">
        <f>TEXT(Table1[[#This Row],[harvest_date]],"mmmm")</f>
        <v>July</v>
      </c>
      <c r="P419">
        <v>119</v>
      </c>
      <c r="Q419">
        <v>4399.05</v>
      </c>
      <c r="R419" t="s">
        <v>904</v>
      </c>
      <c r="S419" s="5">
        <v>45416</v>
      </c>
      <c r="T419">
        <v>31.300217</v>
      </c>
      <c r="U419">
        <v>81.321938000000003</v>
      </c>
      <c r="V419">
        <v>0.5</v>
      </c>
      <c r="W419" t="s">
        <v>31</v>
      </c>
      <c r="X419">
        <v>119</v>
      </c>
      <c r="Y419" t="s">
        <v>62</v>
      </c>
      <c r="Z419" t="s">
        <v>72</v>
      </c>
    </row>
    <row r="420" spans="1:26" x14ac:dyDescent="0.35">
      <c r="A420" t="s">
        <v>905</v>
      </c>
      <c r="B420" t="s">
        <v>5</v>
      </c>
      <c r="C420" t="s">
        <v>14</v>
      </c>
      <c r="D420">
        <v>15.68</v>
      </c>
      <c r="E420">
        <v>6.41</v>
      </c>
      <c r="F420">
        <v>30.78</v>
      </c>
      <c r="G420">
        <v>60.55</v>
      </c>
      <c r="H420">
        <v>50.97</v>
      </c>
      <c r="I420">
        <v>4.0199999999999996</v>
      </c>
      <c r="J420" t="s">
        <v>65</v>
      </c>
      <c r="K420" t="s">
        <v>17</v>
      </c>
      <c r="L420">
        <v>15.36</v>
      </c>
      <c r="M420" s="5">
        <v>45358</v>
      </c>
      <c r="N420" s="5">
        <v>45463</v>
      </c>
      <c r="O420" s="5" t="str">
        <f>TEXT(Table1[[#This Row],[harvest_date]],"mmmm")</f>
        <v>June</v>
      </c>
      <c r="P420">
        <v>105</v>
      </c>
      <c r="Q420">
        <v>3922.98</v>
      </c>
      <c r="R420" t="s">
        <v>906</v>
      </c>
      <c r="S420" s="5">
        <v>45456</v>
      </c>
      <c r="T420">
        <v>33.814706000000001</v>
      </c>
      <c r="U420">
        <v>76.630302</v>
      </c>
      <c r="V420">
        <v>0.74</v>
      </c>
      <c r="W420" t="s">
        <v>30</v>
      </c>
      <c r="X420">
        <v>105</v>
      </c>
      <c r="Y420" t="s">
        <v>62</v>
      </c>
      <c r="Z420" t="s">
        <v>72</v>
      </c>
    </row>
    <row r="421" spans="1:26" x14ac:dyDescent="0.35">
      <c r="A421" t="s">
        <v>907</v>
      </c>
      <c r="B421" t="s">
        <v>5</v>
      </c>
      <c r="C421" t="s">
        <v>10</v>
      </c>
      <c r="D421">
        <v>38.909999999999997</v>
      </c>
      <c r="E421">
        <v>5.51</v>
      </c>
      <c r="F421">
        <v>15.2</v>
      </c>
      <c r="G421">
        <v>139.47</v>
      </c>
      <c r="H421">
        <v>67.73</v>
      </c>
      <c r="I421">
        <v>4.8499999999999996</v>
      </c>
      <c r="J421" t="s">
        <v>32</v>
      </c>
      <c r="K421" t="s">
        <v>18</v>
      </c>
      <c r="L421">
        <v>33.409999999999997</v>
      </c>
      <c r="M421" s="5">
        <v>45324</v>
      </c>
      <c r="N421" s="5">
        <v>45415</v>
      </c>
      <c r="O421" s="5" t="str">
        <f>TEXT(Table1[[#This Row],[harvest_date]],"mmmm")</f>
        <v>May</v>
      </c>
      <c r="P421">
        <v>91</v>
      </c>
      <c r="Q421">
        <v>2796.49</v>
      </c>
      <c r="R421" t="s">
        <v>908</v>
      </c>
      <c r="S421" s="5">
        <v>45360</v>
      </c>
      <c r="T421">
        <v>14.353664999999999</v>
      </c>
      <c r="U421">
        <v>87.707644999999999</v>
      </c>
      <c r="V421">
        <v>0.73</v>
      </c>
      <c r="W421" t="s">
        <v>31</v>
      </c>
      <c r="X421">
        <v>91</v>
      </c>
      <c r="Y421" t="s">
        <v>71</v>
      </c>
      <c r="Z421" t="s">
        <v>72</v>
      </c>
    </row>
    <row r="422" spans="1:26" x14ac:dyDescent="0.35">
      <c r="A422" t="s">
        <v>909</v>
      </c>
      <c r="B422" t="s">
        <v>2</v>
      </c>
      <c r="C422" t="s">
        <v>10</v>
      </c>
      <c r="D422">
        <v>16.25</v>
      </c>
      <c r="E422">
        <v>5.54</v>
      </c>
      <c r="F422">
        <v>31.86</v>
      </c>
      <c r="G422">
        <v>277.66000000000003</v>
      </c>
      <c r="H422">
        <v>41.05</v>
      </c>
      <c r="I422">
        <v>8.06</v>
      </c>
      <c r="J422" t="s">
        <v>32</v>
      </c>
      <c r="K422" t="s">
        <v>17</v>
      </c>
      <c r="L422">
        <v>40.43</v>
      </c>
      <c r="M422" s="5">
        <v>45302</v>
      </c>
      <c r="N422" s="5">
        <v>45451</v>
      </c>
      <c r="O422" s="5" t="str">
        <f>TEXT(Table1[[#This Row],[harvest_date]],"mmmm")</f>
        <v>June</v>
      </c>
      <c r="P422">
        <v>149</v>
      </c>
      <c r="Q422">
        <v>2840.95</v>
      </c>
      <c r="R422" t="s">
        <v>910</v>
      </c>
      <c r="S422" s="5">
        <v>45418</v>
      </c>
      <c r="T422">
        <v>16.003748000000002</v>
      </c>
      <c r="U422">
        <v>86.189755000000005</v>
      </c>
      <c r="V422">
        <v>0.7</v>
      </c>
      <c r="W422" t="s">
        <v>33</v>
      </c>
      <c r="X422">
        <v>149</v>
      </c>
      <c r="Y422" t="s">
        <v>71</v>
      </c>
      <c r="Z422" t="s">
        <v>82</v>
      </c>
    </row>
    <row r="423" spans="1:26" x14ac:dyDescent="0.35">
      <c r="A423" t="s">
        <v>911</v>
      </c>
      <c r="B423" t="s">
        <v>3</v>
      </c>
      <c r="C423" t="s">
        <v>13</v>
      </c>
      <c r="D423">
        <v>15.06</v>
      </c>
      <c r="E423">
        <v>7.35</v>
      </c>
      <c r="F423">
        <v>30.9</v>
      </c>
      <c r="G423">
        <v>97.92</v>
      </c>
      <c r="H423">
        <v>58.91</v>
      </c>
      <c r="I423">
        <v>6.25</v>
      </c>
      <c r="J423" t="s">
        <v>32</v>
      </c>
      <c r="K423" t="s">
        <v>17</v>
      </c>
      <c r="L423">
        <v>16</v>
      </c>
      <c r="M423" s="5">
        <v>45316</v>
      </c>
      <c r="N423" s="5">
        <v>45445</v>
      </c>
      <c r="O423" s="5" t="str">
        <f>TEXT(Table1[[#This Row],[harvest_date]],"mmmm")</f>
        <v>June</v>
      </c>
      <c r="P423">
        <v>129</v>
      </c>
      <c r="Q423">
        <v>4349.3</v>
      </c>
      <c r="R423" t="s">
        <v>912</v>
      </c>
      <c r="S423" s="5">
        <v>45391</v>
      </c>
      <c r="T423">
        <v>29.739695000000001</v>
      </c>
      <c r="U423">
        <v>76.553612000000001</v>
      </c>
      <c r="V423">
        <v>0.33</v>
      </c>
      <c r="W423" t="s">
        <v>31</v>
      </c>
      <c r="X423">
        <v>129</v>
      </c>
      <c r="Y423" t="s">
        <v>62</v>
      </c>
      <c r="Z423" t="s">
        <v>72</v>
      </c>
    </row>
    <row r="424" spans="1:26" x14ac:dyDescent="0.35">
      <c r="A424" t="s">
        <v>913</v>
      </c>
      <c r="B424" t="s">
        <v>4</v>
      </c>
      <c r="C424" t="s">
        <v>12</v>
      </c>
      <c r="D424">
        <v>43.89</v>
      </c>
      <c r="E424">
        <v>7.27</v>
      </c>
      <c r="F424">
        <v>19.18</v>
      </c>
      <c r="G424">
        <v>70.349999999999994</v>
      </c>
      <c r="H424">
        <v>63.53</v>
      </c>
      <c r="I424">
        <v>7.98</v>
      </c>
      <c r="J424" t="s">
        <v>69</v>
      </c>
      <c r="K424" t="s">
        <v>18</v>
      </c>
      <c r="L424">
        <v>27.89</v>
      </c>
      <c r="M424" s="5">
        <v>45376</v>
      </c>
      <c r="N424" s="5">
        <v>45498</v>
      </c>
      <c r="O424" s="5" t="str">
        <f>TEXT(Table1[[#This Row],[harvest_date]],"mmmm")</f>
        <v>July</v>
      </c>
      <c r="P424">
        <v>122</v>
      </c>
      <c r="Q424">
        <v>3497.06</v>
      </c>
      <c r="R424" t="s">
        <v>914</v>
      </c>
      <c r="S424" s="5">
        <v>45442</v>
      </c>
      <c r="T424">
        <v>21.606681999999999</v>
      </c>
      <c r="U424">
        <v>76.436463000000003</v>
      </c>
      <c r="V424">
        <v>0.52</v>
      </c>
      <c r="W424" t="s">
        <v>33</v>
      </c>
      <c r="X424">
        <v>122</v>
      </c>
      <c r="Y424" t="s">
        <v>62</v>
      </c>
      <c r="Z424" t="s">
        <v>72</v>
      </c>
    </row>
    <row r="425" spans="1:26" x14ac:dyDescent="0.35">
      <c r="A425" t="s">
        <v>915</v>
      </c>
      <c r="B425" t="s">
        <v>5</v>
      </c>
      <c r="C425" t="s">
        <v>11</v>
      </c>
      <c r="D425">
        <v>19.39</v>
      </c>
      <c r="E425">
        <v>6.3</v>
      </c>
      <c r="F425">
        <v>33.42</v>
      </c>
      <c r="G425">
        <v>196</v>
      </c>
      <c r="H425">
        <v>41.83</v>
      </c>
      <c r="I425">
        <v>5.32</v>
      </c>
      <c r="J425" t="s">
        <v>65</v>
      </c>
      <c r="K425" t="s">
        <v>19</v>
      </c>
      <c r="L425">
        <v>43.84</v>
      </c>
      <c r="M425" s="5">
        <v>45329</v>
      </c>
      <c r="N425" s="5">
        <v>45438</v>
      </c>
      <c r="O425" s="5" t="str">
        <f>TEXT(Table1[[#This Row],[harvest_date]],"mmmm")</f>
        <v>May</v>
      </c>
      <c r="P425">
        <v>109</v>
      </c>
      <c r="Q425">
        <v>3700.09</v>
      </c>
      <c r="R425" t="s">
        <v>916</v>
      </c>
      <c r="S425" s="5">
        <v>45377</v>
      </c>
      <c r="T425">
        <v>24.28426</v>
      </c>
      <c r="U425">
        <v>88.709978000000007</v>
      </c>
      <c r="V425">
        <v>0.52</v>
      </c>
      <c r="W425" t="s">
        <v>32</v>
      </c>
      <c r="X425">
        <v>109</v>
      </c>
      <c r="Y425" t="s">
        <v>62</v>
      </c>
      <c r="Z425" t="s">
        <v>82</v>
      </c>
    </row>
    <row r="426" spans="1:26" x14ac:dyDescent="0.35">
      <c r="A426" t="s">
        <v>917</v>
      </c>
      <c r="B426" t="s">
        <v>4</v>
      </c>
      <c r="C426" t="s">
        <v>13</v>
      </c>
      <c r="D426">
        <v>20.329999999999998</v>
      </c>
      <c r="E426">
        <v>6.54</v>
      </c>
      <c r="F426">
        <v>19.600000000000001</v>
      </c>
      <c r="G426">
        <v>60.29</v>
      </c>
      <c r="H426">
        <v>65.61</v>
      </c>
      <c r="I426">
        <v>6.02</v>
      </c>
      <c r="J426" t="s">
        <v>32</v>
      </c>
      <c r="K426" t="s">
        <v>19</v>
      </c>
      <c r="L426">
        <v>24.46</v>
      </c>
      <c r="M426" s="5">
        <v>45348</v>
      </c>
      <c r="N426" s="5">
        <v>45469</v>
      </c>
      <c r="O426" s="5" t="str">
        <f>TEXT(Table1[[#This Row],[harvest_date]],"mmmm")</f>
        <v>June</v>
      </c>
      <c r="P426">
        <v>121</v>
      </c>
      <c r="Q426">
        <v>3268.08</v>
      </c>
      <c r="R426" t="s">
        <v>918</v>
      </c>
      <c r="S426" s="5">
        <v>45396</v>
      </c>
      <c r="T426">
        <v>10.617955</v>
      </c>
      <c r="U426">
        <v>78.833770000000001</v>
      </c>
      <c r="V426">
        <v>0.46</v>
      </c>
      <c r="W426" t="s">
        <v>32</v>
      </c>
      <c r="X426">
        <v>121</v>
      </c>
      <c r="Y426" t="s">
        <v>62</v>
      </c>
      <c r="Z426" t="s">
        <v>72</v>
      </c>
    </row>
    <row r="427" spans="1:26" x14ac:dyDescent="0.35">
      <c r="A427" t="s">
        <v>919</v>
      </c>
      <c r="B427" t="s">
        <v>1</v>
      </c>
      <c r="C427" t="s">
        <v>13</v>
      </c>
      <c r="D427">
        <v>20.309999999999999</v>
      </c>
      <c r="E427">
        <v>6.5</v>
      </c>
      <c r="F427">
        <v>25.93</v>
      </c>
      <c r="G427">
        <v>69.540000000000006</v>
      </c>
      <c r="H427">
        <v>53.82</v>
      </c>
      <c r="I427">
        <v>5.37</v>
      </c>
      <c r="J427" t="s">
        <v>69</v>
      </c>
      <c r="K427" t="s">
        <v>18</v>
      </c>
      <c r="L427">
        <v>21.21</v>
      </c>
      <c r="M427" s="5">
        <v>45358</v>
      </c>
      <c r="N427" s="5">
        <v>45469</v>
      </c>
      <c r="O427" s="5" t="str">
        <f>TEXT(Table1[[#This Row],[harvest_date]],"mmmm")</f>
        <v>June</v>
      </c>
      <c r="P427">
        <v>111</v>
      </c>
      <c r="Q427">
        <v>2786.59</v>
      </c>
      <c r="R427" t="s">
        <v>920</v>
      </c>
      <c r="S427" s="5">
        <v>45400</v>
      </c>
      <c r="T427">
        <v>16.250591</v>
      </c>
      <c r="U427">
        <v>84.904227000000006</v>
      </c>
      <c r="V427">
        <v>0.76</v>
      </c>
      <c r="W427" t="s">
        <v>31</v>
      </c>
      <c r="X427">
        <v>111</v>
      </c>
      <c r="Y427" t="s">
        <v>71</v>
      </c>
      <c r="Z427" t="s">
        <v>72</v>
      </c>
    </row>
    <row r="428" spans="1:26" x14ac:dyDescent="0.35">
      <c r="A428" t="s">
        <v>921</v>
      </c>
      <c r="B428" t="s">
        <v>4</v>
      </c>
      <c r="C428" t="s">
        <v>12</v>
      </c>
      <c r="D428">
        <v>44.93</v>
      </c>
      <c r="E428">
        <v>7.5</v>
      </c>
      <c r="F428">
        <v>30.05</v>
      </c>
      <c r="G428">
        <v>234.96</v>
      </c>
      <c r="H428">
        <v>85.62</v>
      </c>
      <c r="I428">
        <v>4.05</v>
      </c>
      <c r="J428" t="s">
        <v>80</v>
      </c>
      <c r="K428" t="s">
        <v>19</v>
      </c>
      <c r="L428">
        <v>42</v>
      </c>
      <c r="M428" s="5">
        <v>45335</v>
      </c>
      <c r="N428" s="5">
        <v>45477</v>
      </c>
      <c r="O428" s="5" t="str">
        <f>TEXT(Table1[[#This Row],[harvest_date]],"mmmm")</f>
        <v>July</v>
      </c>
      <c r="P428">
        <v>142</v>
      </c>
      <c r="Q428">
        <v>4319.82</v>
      </c>
      <c r="R428" t="s">
        <v>922</v>
      </c>
      <c r="S428" s="5">
        <v>45338</v>
      </c>
      <c r="T428">
        <v>21.8001</v>
      </c>
      <c r="U428">
        <v>80.252938999999998</v>
      </c>
      <c r="V428">
        <v>0.76</v>
      </c>
      <c r="W428" t="s">
        <v>30</v>
      </c>
      <c r="X428">
        <v>142</v>
      </c>
      <c r="Y428" t="s">
        <v>62</v>
      </c>
      <c r="Z428" t="s">
        <v>82</v>
      </c>
    </row>
    <row r="429" spans="1:26" x14ac:dyDescent="0.35">
      <c r="A429" t="s">
        <v>923</v>
      </c>
      <c r="B429" t="s">
        <v>5</v>
      </c>
      <c r="C429" t="s">
        <v>10</v>
      </c>
      <c r="D429">
        <v>17.940000000000001</v>
      </c>
      <c r="E429">
        <v>7</v>
      </c>
      <c r="F429">
        <v>24.49</v>
      </c>
      <c r="G429">
        <v>178.96</v>
      </c>
      <c r="H429">
        <v>79.3</v>
      </c>
      <c r="I429">
        <v>8.5500000000000007</v>
      </c>
      <c r="J429" t="s">
        <v>32</v>
      </c>
      <c r="K429" t="s">
        <v>19</v>
      </c>
      <c r="L429">
        <v>40.64</v>
      </c>
      <c r="M429" s="5">
        <v>45350</v>
      </c>
      <c r="N429" s="5">
        <v>45452</v>
      </c>
      <c r="O429" s="5" t="str">
        <f>TEXT(Table1[[#This Row],[harvest_date]],"mmmm")</f>
        <v>June</v>
      </c>
      <c r="P429">
        <v>102</v>
      </c>
      <c r="Q429">
        <v>3715.17</v>
      </c>
      <c r="R429" t="s">
        <v>924</v>
      </c>
      <c r="S429" s="5">
        <v>45439</v>
      </c>
      <c r="T429">
        <v>20.442197</v>
      </c>
      <c r="U429">
        <v>78.773616000000004</v>
      </c>
      <c r="V429">
        <v>0.81</v>
      </c>
      <c r="W429" t="s">
        <v>32</v>
      </c>
      <c r="X429">
        <v>102</v>
      </c>
      <c r="Y429" t="s">
        <v>62</v>
      </c>
      <c r="Z429" t="s">
        <v>82</v>
      </c>
    </row>
    <row r="430" spans="1:26" x14ac:dyDescent="0.35">
      <c r="A430" t="s">
        <v>925</v>
      </c>
      <c r="B430" t="s">
        <v>1</v>
      </c>
      <c r="C430" t="s">
        <v>10</v>
      </c>
      <c r="D430">
        <v>30.21</v>
      </c>
      <c r="E430">
        <v>5.76</v>
      </c>
      <c r="F430">
        <v>33.869999999999997</v>
      </c>
      <c r="G430">
        <v>52.42</v>
      </c>
      <c r="H430">
        <v>80.52</v>
      </c>
      <c r="I430">
        <v>9.01</v>
      </c>
      <c r="J430" t="s">
        <v>80</v>
      </c>
      <c r="K430" t="s">
        <v>18</v>
      </c>
      <c r="L430">
        <v>23.86</v>
      </c>
      <c r="M430" s="5">
        <v>45376</v>
      </c>
      <c r="N430" s="5">
        <v>45491</v>
      </c>
      <c r="O430" s="5" t="str">
        <f>TEXT(Table1[[#This Row],[harvest_date]],"mmmm")</f>
        <v>July</v>
      </c>
      <c r="P430">
        <v>115</v>
      </c>
      <c r="Q430">
        <v>5051.37</v>
      </c>
      <c r="R430" t="s">
        <v>926</v>
      </c>
      <c r="S430" s="5">
        <v>45464</v>
      </c>
      <c r="T430">
        <v>23.440100000000001</v>
      </c>
      <c r="U430">
        <v>76.521590000000003</v>
      </c>
      <c r="V430">
        <v>0.31</v>
      </c>
      <c r="W430" t="s">
        <v>32</v>
      </c>
      <c r="X430">
        <v>115</v>
      </c>
      <c r="Y430" t="s">
        <v>62</v>
      </c>
      <c r="Z430" t="s">
        <v>72</v>
      </c>
    </row>
    <row r="431" spans="1:26" x14ac:dyDescent="0.35">
      <c r="A431" t="s">
        <v>927</v>
      </c>
      <c r="B431" t="s">
        <v>4</v>
      </c>
      <c r="C431" t="s">
        <v>10</v>
      </c>
      <c r="D431">
        <v>44.2</v>
      </c>
      <c r="E431">
        <v>7.49</v>
      </c>
      <c r="F431">
        <v>26.36</v>
      </c>
      <c r="G431">
        <v>249.79</v>
      </c>
      <c r="H431">
        <v>85.69</v>
      </c>
      <c r="I431">
        <v>7.44</v>
      </c>
      <c r="J431" t="s">
        <v>32</v>
      </c>
      <c r="K431" t="s">
        <v>19</v>
      </c>
      <c r="L431">
        <v>14.19</v>
      </c>
      <c r="M431" s="5">
        <v>45325</v>
      </c>
      <c r="N431" s="5">
        <v>45449</v>
      </c>
      <c r="O431" s="5" t="str">
        <f>TEXT(Table1[[#This Row],[harvest_date]],"mmmm")</f>
        <v>June</v>
      </c>
      <c r="P431">
        <v>124</v>
      </c>
      <c r="Q431">
        <v>3545.74</v>
      </c>
      <c r="R431" t="s">
        <v>928</v>
      </c>
      <c r="S431" s="5">
        <v>45385</v>
      </c>
      <c r="T431">
        <v>12.715959</v>
      </c>
      <c r="U431">
        <v>81.390299999999996</v>
      </c>
      <c r="V431">
        <v>0.56999999999999995</v>
      </c>
      <c r="W431" t="s">
        <v>31</v>
      </c>
      <c r="X431">
        <v>124</v>
      </c>
      <c r="Y431" t="s">
        <v>62</v>
      </c>
      <c r="Z431" t="s">
        <v>63</v>
      </c>
    </row>
    <row r="432" spans="1:26" x14ac:dyDescent="0.35">
      <c r="A432" t="s">
        <v>929</v>
      </c>
      <c r="B432" t="s">
        <v>3</v>
      </c>
      <c r="C432" t="s">
        <v>10</v>
      </c>
      <c r="D432">
        <v>13.65</v>
      </c>
      <c r="E432">
        <v>6.61</v>
      </c>
      <c r="F432">
        <v>15.64</v>
      </c>
      <c r="G432">
        <v>222.26</v>
      </c>
      <c r="H432">
        <v>64.430000000000007</v>
      </c>
      <c r="I432">
        <v>5.12</v>
      </c>
      <c r="J432" t="s">
        <v>69</v>
      </c>
      <c r="K432" t="s">
        <v>19</v>
      </c>
      <c r="L432">
        <v>17.77</v>
      </c>
      <c r="M432" s="5">
        <v>45301</v>
      </c>
      <c r="N432" s="5">
        <v>45433</v>
      </c>
      <c r="O432" s="5" t="str">
        <f>TEXT(Table1[[#This Row],[harvest_date]],"mmmm")</f>
        <v>May</v>
      </c>
      <c r="P432">
        <v>132</v>
      </c>
      <c r="Q432">
        <v>4097.58</v>
      </c>
      <c r="R432" t="s">
        <v>930</v>
      </c>
      <c r="S432" s="5">
        <v>45417</v>
      </c>
      <c r="T432">
        <v>11.43633</v>
      </c>
      <c r="U432">
        <v>80.370633999999995</v>
      </c>
      <c r="V432">
        <v>0.4</v>
      </c>
      <c r="W432" t="s">
        <v>33</v>
      </c>
      <c r="X432">
        <v>132</v>
      </c>
      <c r="Y432" t="s">
        <v>62</v>
      </c>
      <c r="Z432" t="s">
        <v>72</v>
      </c>
    </row>
    <row r="433" spans="1:26" x14ac:dyDescent="0.35">
      <c r="A433" t="s">
        <v>931</v>
      </c>
      <c r="B433" t="s">
        <v>5</v>
      </c>
      <c r="C433" t="s">
        <v>10</v>
      </c>
      <c r="D433">
        <v>44.64</v>
      </c>
      <c r="E433">
        <v>5.76</v>
      </c>
      <c r="F433">
        <v>23.37</v>
      </c>
      <c r="G433">
        <v>235.79</v>
      </c>
      <c r="H433">
        <v>59.45</v>
      </c>
      <c r="I433">
        <v>9.42</v>
      </c>
      <c r="J433" t="s">
        <v>65</v>
      </c>
      <c r="K433" t="s">
        <v>18</v>
      </c>
      <c r="L433">
        <v>44.17</v>
      </c>
      <c r="M433" s="5">
        <v>45336</v>
      </c>
      <c r="N433" s="5">
        <v>45478</v>
      </c>
      <c r="O433" s="5" t="str">
        <f>TEXT(Table1[[#This Row],[harvest_date]],"mmmm")</f>
        <v>July</v>
      </c>
      <c r="P433">
        <v>142</v>
      </c>
      <c r="Q433">
        <v>4838.6899999999996</v>
      </c>
      <c r="R433" t="s">
        <v>932</v>
      </c>
      <c r="S433" s="5">
        <v>45457</v>
      </c>
      <c r="T433">
        <v>13.969531</v>
      </c>
      <c r="U433">
        <v>81.501828000000003</v>
      </c>
      <c r="V433">
        <v>0.49</v>
      </c>
      <c r="W433" t="s">
        <v>30</v>
      </c>
      <c r="X433">
        <v>142</v>
      </c>
      <c r="Y433" t="s">
        <v>62</v>
      </c>
      <c r="Z433" t="s">
        <v>82</v>
      </c>
    </row>
    <row r="434" spans="1:26" x14ac:dyDescent="0.35">
      <c r="A434" t="s">
        <v>933</v>
      </c>
      <c r="B434" t="s">
        <v>2</v>
      </c>
      <c r="C434" t="s">
        <v>11</v>
      </c>
      <c r="D434">
        <v>19.64</v>
      </c>
      <c r="E434">
        <v>5.51</v>
      </c>
      <c r="F434">
        <v>17.850000000000001</v>
      </c>
      <c r="G434">
        <v>65.989999999999995</v>
      </c>
      <c r="H434">
        <v>59.96</v>
      </c>
      <c r="I434">
        <v>8.85</v>
      </c>
      <c r="J434" t="s">
        <v>80</v>
      </c>
      <c r="K434" t="s">
        <v>17</v>
      </c>
      <c r="L434">
        <v>44.57</v>
      </c>
      <c r="M434" s="5">
        <v>45337</v>
      </c>
      <c r="N434" s="5">
        <v>45463</v>
      </c>
      <c r="O434" s="5" t="str">
        <f>TEXT(Table1[[#This Row],[harvest_date]],"mmmm")</f>
        <v>June</v>
      </c>
      <c r="P434">
        <v>126</v>
      </c>
      <c r="Q434">
        <v>2156.34</v>
      </c>
      <c r="R434" t="s">
        <v>934</v>
      </c>
      <c r="S434" s="5">
        <v>45348</v>
      </c>
      <c r="T434">
        <v>17.197794999999999</v>
      </c>
      <c r="U434">
        <v>87.619881000000007</v>
      </c>
      <c r="V434">
        <v>0.56999999999999995</v>
      </c>
      <c r="W434" t="s">
        <v>31</v>
      </c>
      <c r="X434">
        <v>126</v>
      </c>
      <c r="Y434" t="s">
        <v>71</v>
      </c>
      <c r="Z434" t="s">
        <v>82</v>
      </c>
    </row>
    <row r="435" spans="1:26" x14ac:dyDescent="0.35">
      <c r="A435" t="s">
        <v>935</v>
      </c>
      <c r="B435" t="s">
        <v>5</v>
      </c>
      <c r="C435" t="s">
        <v>12</v>
      </c>
      <c r="D435">
        <v>38.82</v>
      </c>
      <c r="E435">
        <v>7.2</v>
      </c>
      <c r="F435">
        <v>23.3</v>
      </c>
      <c r="G435">
        <v>94.89</v>
      </c>
      <c r="H435">
        <v>70.89</v>
      </c>
      <c r="I435">
        <v>6.59</v>
      </c>
      <c r="J435" t="s">
        <v>32</v>
      </c>
      <c r="K435" t="s">
        <v>17</v>
      </c>
      <c r="L435">
        <v>13.25</v>
      </c>
      <c r="M435" s="5">
        <v>45355</v>
      </c>
      <c r="N435" s="5">
        <v>45470</v>
      </c>
      <c r="O435" s="5" t="str">
        <f>TEXT(Table1[[#This Row],[harvest_date]],"mmmm")</f>
        <v>June</v>
      </c>
      <c r="P435">
        <v>115</v>
      </c>
      <c r="Q435">
        <v>4794.58</v>
      </c>
      <c r="R435" t="s">
        <v>936</v>
      </c>
      <c r="S435" s="5">
        <v>45360</v>
      </c>
      <c r="T435">
        <v>15.992381</v>
      </c>
      <c r="U435">
        <v>87.410792000000001</v>
      </c>
      <c r="V435">
        <v>0.46</v>
      </c>
      <c r="W435" t="s">
        <v>31</v>
      </c>
      <c r="X435">
        <v>115</v>
      </c>
      <c r="Y435" t="s">
        <v>62</v>
      </c>
      <c r="Z435" t="s">
        <v>63</v>
      </c>
    </row>
    <row r="436" spans="1:26" x14ac:dyDescent="0.35">
      <c r="A436" t="s">
        <v>937</v>
      </c>
      <c r="B436" t="s">
        <v>3</v>
      </c>
      <c r="C436" t="s">
        <v>10</v>
      </c>
      <c r="D436">
        <v>41.81</v>
      </c>
      <c r="E436">
        <v>6.32</v>
      </c>
      <c r="F436">
        <v>30.24</v>
      </c>
      <c r="G436">
        <v>80.31</v>
      </c>
      <c r="H436">
        <v>58.44</v>
      </c>
      <c r="I436">
        <v>8.5299999999999994</v>
      </c>
      <c r="J436" t="s">
        <v>80</v>
      </c>
      <c r="K436" t="s">
        <v>19</v>
      </c>
      <c r="L436">
        <v>25.29</v>
      </c>
      <c r="M436" s="5">
        <v>45329</v>
      </c>
      <c r="N436" s="5">
        <v>45451</v>
      </c>
      <c r="O436" s="5" t="str">
        <f>TEXT(Table1[[#This Row],[harvest_date]],"mmmm")</f>
        <v>June</v>
      </c>
      <c r="P436">
        <v>122</v>
      </c>
      <c r="Q436">
        <v>2178.54</v>
      </c>
      <c r="R436" t="s">
        <v>938</v>
      </c>
      <c r="S436" s="5">
        <v>45332</v>
      </c>
      <c r="T436">
        <v>11.829886999999999</v>
      </c>
      <c r="U436">
        <v>83.889713999999998</v>
      </c>
      <c r="V436">
        <v>0.75</v>
      </c>
      <c r="W436" t="s">
        <v>33</v>
      </c>
      <c r="X436">
        <v>122</v>
      </c>
      <c r="Y436" t="s">
        <v>71</v>
      </c>
      <c r="Z436" t="s">
        <v>72</v>
      </c>
    </row>
    <row r="437" spans="1:26" x14ac:dyDescent="0.35">
      <c r="A437" t="s">
        <v>939</v>
      </c>
      <c r="B437" t="s">
        <v>1</v>
      </c>
      <c r="C437" t="s">
        <v>11</v>
      </c>
      <c r="D437">
        <v>39.950000000000003</v>
      </c>
      <c r="E437">
        <v>6.29</v>
      </c>
      <c r="F437">
        <v>15.21</v>
      </c>
      <c r="G437">
        <v>78.67</v>
      </c>
      <c r="H437">
        <v>85.86</v>
      </c>
      <c r="I437">
        <v>5.96</v>
      </c>
      <c r="J437" t="s">
        <v>32</v>
      </c>
      <c r="K437" t="s">
        <v>19</v>
      </c>
      <c r="L437">
        <v>25.76</v>
      </c>
      <c r="M437" s="5">
        <v>45309</v>
      </c>
      <c r="N437" s="5">
        <v>45441</v>
      </c>
      <c r="O437" s="5" t="str">
        <f>TEXT(Table1[[#This Row],[harvest_date]],"mmmm")</f>
        <v>May</v>
      </c>
      <c r="P437">
        <v>132</v>
      </c>
      <c r="Q437">
        <v>2969.17</v>
      </c>
      <c r="R437" t="s">
        <v>940</v>
      </c>
      <c r="S437" s="5">
        <v>45421</v>
      </c>
      <c r="T437">
        <v>13.506394</v>
      </c>
      <c r="U437">
        <v>86.408534000000003</v>
      </c>
      <c r="V437">
        <v>0.8</v>
      </c>
      <c r="W437" t="s">
        <v>30</v>
      </c>
      <c r="X437">
        <v>132</v>
      </c>
      <c r="Y437" t="s">
        <v>71</v>
      </c>
      <c r="Z437" t="s">
        <v>72</v>
      </c>
    </row>
    <row r="438" spans="1:26" x14ac:dyDescent="0.35">
      <c r="A438" t="s">
        <v>941</v>
      </c>
      <c r="B438" t="s">
        <v>3</v>
      </c>
      <c r="C438" t="s">
        <v>12</v>
      </c>
      <c r="D438">
        <v>13.52</v>
      </c>
      <c r="E438">
        <v>6.09</v>
      </c>
      <c r="F438">
        <v>25.69</v>
      </c>
      <c r="G438">
        <v>147.71</v>
      </c>
      <c r="H438">
        <v>43.88</v>
      </c>
      <c r="I438">
        <v>8.58</v>
      </c>
      <c r="J438" t="s">
        <v>80</v>
      </c>
      <c r="K438" t="s">
        <v>18</v>
      </c>
      <c r="L438">
        <v>24.83</v>
      </c>
      <c r="M438" s="5">
        <v>45298</v>
      </c>
      <c r="N438" s="5">
        <v>45433</v>
      </c>
      <c r="O438" s="5" t="str">
        <f>TEXT(Table1[[#This Row],[harvest_date]],"mmmm")</f>
        <v>May</v>
      </c>
      <c r="P438">
        <v>135</v>
      </c>
      <c r="Q438">
        <v>2137.7800000000002</v>
      </c>
      <c r="R438" t="s">
        <v>942</v>
      </c>
      <c r="S438" s="5">
        <v>45353</v>
      </c>
      <c r="T438">
        <v>21.051454</v>
      </c>
      <c r="U438">
        <v>70.955119999999994</v>
      </c>
      <c r="V438">
        <v>0.68</v>
      </c>
      <c r="W438" t="s">
        <v>32</v>
      </c>
      <c r="X438">
        <v>135</v>
      </c>
      <c r="Y438" t="s">
        <v>71</v>
      </c>
      <c r="Z438" t="s">
        <v>72</v>
      </c>
    </row>
    <row r="439" spans="1:26" x14ac:dyDescent="0.35">
      <c r="A439" t="s">
        <v>943</v>
      </c>
      <c r="B439" t="s">
        <v>5</v>
      </c>
      <c r="C439" t="s">
        <v>14</v>
      </c>
      <c r="D439">
        <v>25.54</v>
      </c>
      <c r="E439">
        <v>6.7</v>
      </c>
      <c r="F439">
        <v>15.97</v>
      </c>
      <c r="G439">
        <v>144.35</v>
      </c>
      <c r="H439">
        <v>50.09</v>
      </c>
      <c r="I439">
        <v>5.5</v>
      </c>
      <c r="J439" t="s">
        <v>65</v>
      </c>
      <c r="K439" t="s">
        <v>18</v>
      </c>
      <c r="L439">
        <v>9.11</v>
      </c>
      <c r="M439" s="5">
        <v>45323</v>
      </c>
      <c r="N439" s="5">
        <v>45413</v>
      </c>
      <c r="O439" s="5" t="str">
        <f>TEXT(Table1[[#This Row],[harvest_date]],"mmmm")</f>
        <v>May</v>
      </c>
      <c r="P439">
        <v>90</v>
      </c>
      <c r="Q439">
        <v>3348.47</v>
      </c>
      <c r="R439" t="s">
        <v>944</v>
      </c>
      <c r="S439" s="5">
        <v>45347</v>
      </c>
      <c r="T439">
        <v>26.998988000000001</v>
      </c>
      <c r="U439">
        <v>71.26343</v>
      </c>
      <c r="V439">
        <v>0.88</v>
      </c>
      <c r="W439" t="s">
        <v>32</v>
      </c>
      <c r="X439">
        <v>90</v>
      </c>
      <c r="Y439" t="s">
        <v>62</v>
      </c>
      <c r="Z439" t="s">
        <v>63</v>
      </c>
    </row>
    <row r="440" spans="1:26" x14ac:dyDescent="0.35">
      <c r="A440" t="s">
        <v>945</v>
      </c>
      <c r="B440" t="s">
        <v>4</v>
      </c>
      <c r="C440" t="s">
        <v>10</v>
      </c>
      <c r="D440">
        <v>11.54</v>
      </c>
      <c r="E440">
        <v>6.53</v>
      </c>
      <c r="F440">
        <v>31.31</v>
      </c>
      <c r="G440">
        <v>130.66999999999999</v>
      </c>
      <c r="H440">
        <v>71.34</v>
      </c>
      <c r="I440">
        <v>7.75</v>
      </c>
      <c r="J440" t="s">
        <v>32</v>
      </c>
      <c r="K440" t="s">
        <v>19</v>
      </c>
      <c r="L440">
        <v>10.44</v>
      </c>
      <c r="M440" s="5">
        <v>45295</v>
      </c>
      <c r="N440" s="5">
        <v>45407</v>
      </c>
      <c r="O440" s="5" t="str">
        <f>TEXT(Table1[[#This Row],[harvest_date]],"mmmm")</f>
        <v>April</v>
      </c>
      <c r="P440">
        <v>112</v>
      </c>
      <c r="Q440">
        <v>3293.47</v>
      </c>
      <c r="R440" t="s">
        <v>946</v>
      </c>
      <c r="S440" s="5">
        <v>45296</v>
      </c>
      <c r="T440">
        <v>20.053487000000001</v>
      </c>
      <c r="U440">
        <v>76.324804</v>
      </c>
      <c r="V440">
        <v>0.53</v>
      </c>
      <c r="W440" t="s">
        <v>33</v>
      </c>
      <c r="X440">
        <v>112</v>
      </c>
      <c r="Y440" t="s">
        <v>62</v>
      </c>
      <c r="Z440" t="s">
        <v>63</v>
      </c>
    </row>
    <row r="441" spans="1:26" x14ac:dyDescent="0.35">
      <c r="A441" t="s">
        <v>947</v>
      </c>
      <c r="B441" t="s">
        <v>4</v>
      </c>
      <c r="C441" t="s">
        <v>13</v>
      </c>
      <c r="D441">
        <v>33.03</v>
      </c>
      <c r="E441">
        <v>6.06</v>
      </c>
      <c r="F441">
        <v>27.48</v>
      </c>
      <c r="G441">
        <v>60.98</v>
      </c>
      <c r="H441">
        <v>84.27</v>
      </c>
      <c r="I441">
        <v>6.47</v>
      </c>
      <c r="J441" t="s">
        <v>32</v>
      </c>
      <c r="K441" t="s">
        <v>18</v>
      </c>
      <c r="L441">
        <v>37.06</v>
      </c>
      <c r="M441" s="5">
        <v>45357</v>
      </c>
      <c r="N441" s="5">
        <v>45463</v>
      </c>
      <c r="O441" s="5" t="str">
        <f>TEXT(Table1[[#This Row],[harvest_date]],"mmmm")</f>
        <v>June</v>
      </c>
      <c r="P441">
        <v>106</v>
      </c>
      <c r="Q441">
        <v>5836.14</v>
      </c>
      <c r="R441" t="s">
        <v>948</v>
      </c>
      <c r="S441" s="5">
        <v>45433</v>
      </c>
      <c r="T441">
        <v>18.108857</v>
      </c>
      <c r="U441">
        <v>82.617478000000006</v>
      </c>
      <c r="V441">
        <v>0.53</v>
      </c>
      <c r="W441" t="s">
        <v>30</v>
      </c>
      <c r="X441">
        <v>106</v>
      </c>
      <c r="Y441" t="s">
        <v>67</v>
      </c>
      <c r="Z441" t="s">
        <v>72</v>
      </c>
    </row>
    <row r="442" spans="1:26" x14ac:dyDescent="0.35">
      <c r="A442" t="s">
        <v>949</v>
      </c>
      <c r="B442" t="s">
        <v>1</v>
      </c>
      <c r="C442" t="s">
        <v>10</v>
      </c>
      <c r="D442">
        <v>32.24</v>
      </c>
      <c r="E442">
        <v>7.27</v>
      </c>
      <c r="F442">
        <v>21.36</v>
      </c>
      <c r="G442">
        <v>262.89</v>
      </c>
      <c r="H442">
        <v>64.11</v>
      </c>
      <c r="I442">
        <v>6.01</v>
      </c>
      <c r="J442" t="s">
        <v>32</v>
      </c>
      <c r="K442" t="s">
        <v>19</v>
      </c>
      <c r="L442">
        <v>28</v>
      </c>
      <c r="M442" s="5">
        <v>45359</v>
      </c>
      <c r="N442" s="5">
        <v>45481</v>
      </c>
      <c r="O442" s="5" t="str">
        <f>TEXT(Table1[[#This Row],[harvest_date]],"mmmm")</f>
        <v>July</v>
      </c>
      <c r="P442">
        <v>122</v>
      </c>
      <c r="Q442">
        <v>4349.87</v>
      </c>
      <c r="R442" t="s">
        <v>950</v>
      </c>
      <c r="S442" s="5">
        <v>45360</v>
      </c>
      <c r="T442">
        <v>15.815148000000001</v>
      </c>
      <c r="U442">
        <v>82.326972999999995</v>
      </c>
      <c r="V442">
        <v>0.84</v>
      </c>
      <c r="W442" t="s">
        <v>31</v>
      </c>
      <c r="X442">
        <v>122</v>
      </c>
      <c r="Y442" t="s">
        <v>62</v>
      </c>
      <c r="Z442" t="s">
        <v>72</v>
      </c>
    </row>
    <row r="443" spans="1:26" x14ac:dyDescent="0.35">
      <c r="A443" t="s">
        <v>951</v>
      </c>
      <c r="B443" t="s">
        <v>4</v>
      </c>
      <c r="C443" t="s">
        <v>11</v>
      </c>
      <c r="D443">
        <v>36.5</v>
      </c>
      <c r="E443">
        <v>6.74</v>
      </c>
      <c r="F443">
        <v>16.2</v>
      </c>
      <c r="G443">
        <v>143.63</v>
      </c>
      <c r="H443">
        <v>54.83</v>
      </c>
      <c r="I443">
        <v>4.91</v>
      </c>
      <c r="J443" t="s">
        <v>65</v>
      </c>
      <c r="K443" t="s">
        <v>17</v>
      </c>
      <c r="L443">
        <v>6.71</v>
      </c>
      <c r="M443" s="5">
        <v>45371</v>
      </c>
      <c r="N443" s="5">
        <v>45521</v>
      </c>
      <c r="O443" s="5" t="str">
        <f>TEXT(Table1[[#This Row],[harvest_date]],"mmmm")</f>
        <v>August</v>
      </c>
      <c r="P443">
        <v>150</v>
      </c>
      <c r="Q443">
        <v>3774.9</v>
      </c>
      <c r="R443" t="s">
        <v>952</v>
      </c>
      <c r="S443" s="5">
        <v>45455</v>
      </c>
      <c r="T443">
        <v>13.356674999999999</v>
      </c>
      <c r="U443">
        <v>76.350773000000004</v>
      </c>
      <c r="V443">
        <v>0.77</v>
      </c>
      <c r="W443" t="s">
        <v>32</v>
      </c>
      <c r="X443">
        <v>150</v>
      </c>
      <c r="Y443" t="s">
        <v>62</v>
      </c>
      <c r="Z443" t="s">
        <v>63</v>
      </c>
    </row>
    <row r="444" spans="1:26" x14ac:dyDescent="0.35">
      <c r="A444" t="s">
        <v>953</v>
      </c>
      <c r="B444" t="s">
        <v>2</v>
      </c>
      <c r="C444" t="s">
        <v>11</v>
      </c>
      <c r="D444">
        <v>32.68</v>
      </c>
      <c r="E444">
        <v>6.08</v>
      </c>
      <c r="F444">
        <v>15.47</v>
      </c>
      <c r="G444">
        <v>261.73</v>
      </c>
      <c r="H444">
        <v>56.56</v>
      </c>
      <c r="I444">
        <v>5.45</v>
      </c>
      <c r="J444" t="s">
        <v>69</v>
      </c>
      <c r="K444" t="s">
        <v>17</v>
      </c>
      <c r="L444">
        <v>49.48</v>
      </c>
      <c r="M444" s="5">
        <v>45374</v>
      </c>
      <c r="N444" s="5">
        <v>45510</v>
      </c>
      <c r="O444" s="5" t="str">
        <f>TEXT(Table1[[#This Row],[harvest_date]],"mmmm")</f>
        <v>August</v>
      </c>
      <c r="P444">
        <v>136</v>
      </c>
      <c r="Q444">
        <v>2889.78</v>
      </c>
      <c r="R444" t="s">
        <v>954</v>
      </c>
      <c r="S444" s="5">
        <v>45471</v>
      </c>
      <c r="T444">
        <v>23.036798000000001</v>
      </c>
      <c r="U444">
        <v>73.670908999999995</v>
      </c>
      <c r="V444">
        <v>0.68</v>
      </c>
      <c r="W444" t="s">
        <v>32</v>
      </c>
      <c r="X444">
        <v>136</v>
      </c>
      <c r="Y444" t="s">
        <v>71</v>
      </c>
      <c r="Z444" t="s">
        <v>82</v>
      </c>
    </row>
    <row r="445" spans="1:26" x14ac:dyDescent="0.35">
      <c r="A445" t="s">
        <v>955</v>
      </c>
      <c r="B445" t="s">
        <v>5</v>
      </c>
      <c r="C445" t="s">
        <v>13</v>
      </c>
      <c r="D445">
        <v>43.38</v>
      </c>
      <c r="E445">
        <v>5.6</v>
      </c>
      <c r="F445">
        <v>34.840000000000003</v>
      </c>
      <c r="G445">
        <v>284.57</v>
      </c>
      <c r="H445">
        <v>46.28</v>
      </c>
      <c r="I445">
        <v>5.04</v>
      </c>
      <c r="J445" t="s">
        <v>65</v>
      </c>
      <c r="K445" t="s">
        <v>18</v>
      </c>
      <c r="L445">
        <v>27.83</v>
      </c>
      <c r="M445" s="5">
        <v>45346</v>
      </c>
      <c r="N445" s="5">
        <v>45465</v>
      </c>
      <c r="O445" s="5" t="str">
        <f>TEXT(Table1[[#This Row],[harvest_date]],"mmmm")</f>
        <v>June</v>
      </c>
      <c r="P445">
        <v>119</v>
      </c>
      <c r="Q445">
        <v>3245.85</v>
      </c>
      <c r="R445" t="s">
        <v>956</v>
      </c>
      <c r="S445" s="5">
        <v>45438</v>
      </c>
      <c r="T445">
        <v>14.938407</v>
      </c>
      <c r="U445">
        <v>78.480335999999994</v>
      </c>
      <c r="V445">
        <v>0.66</v>
      </c>
      <c r="W445" t="s">
        <v>31</v>
      </c>
      <c r="X445">
        <v>119</v>
      </c>
      <c r="Y445" t="s">
        <v>62</v>
      </c>
      <c r="Z445" t="s">
        <v>72</v>
      </c>
    </row>
    <row r="446" spans="1:26" x14ac:dyDescent="0.35">
      <c r="A446" t="s">
        <v>957</v>
      </c>
      <c r="B446" t="s">
        <v>1</v>
      </c>
      <c r="C446" t="s">
        <v>12</v>
      </c>
      <c r="D446">
        <v>25.69</v>
      </c>
      <c r="E446">
        <v>6.77</v>
      </c>
      <c r="F446">
        <v>20.440000000000001</v>
      </c>
      <c r="G446">
        <v>245.32</v>
      </c>
      <c r="H446">
        <v>44</v>
      </c>
      <c r="I446">
        <v>9.84</v>
      </c>
      <c r="J446" t="s">
        <v>32</v>
      </c>
      <c r="K446" t="s">
        <v>19</v>
      </c>
      <c r="L446">
        <v>12.55</v>
      </c>
      <c r="M446" s="5">
        <v>45336</v>
      </c>
      <c r="N446" s="5">
        <v>45458</v>
      </c>
      <c r="O446" s="5" t="str">
        <f>TEXT(Table1[[#This Row],[harvest_date]],"mmmm")</f>
        <v>June</v>
      </c>
      <c r="P446">
        <v>122</v>
      </c>
      <c r="Q446">
        <v>4437.58</v>
      </c>
      <c r="R446" t="s">
        <v>958</v>
      </c>
      <c r="S446" s="5">
        <v>45391</v>
      </c>
      <c r="T446">
        <v>29.008112000000001</v>
      </c>
      <c r="U446">
        <v>86.392076000000003</v>
      </c>
      <c r="V446">
        <v>0.78</v>
      </c>
      <c r="W446" t="s">
        <v>32</v>
      </c>
      <c r="X446">
        <v>122</v>
      </c>
      <c r="Y446" t="s">
        <v>62</v>
      </c>
      <c r="Z446" t="s">
        <v>63</v>
      </c>
    </row>
    <row r="447" spans="1:26" x14ac:dyDescent="0.35">
      <c r="A447" t="s">
        <v>959</v>
      </c>
      <c r="B447" t="s">
        <v>5</v>
      </c>
      <c r="C447" t="s">
        <v>11</v>
      </c>
      <c r="D447">
        <v>39.89</v>
      </c>
      <c r="E447">
        <v>7.02</v>
      </c>
      <c r="F447">
        <v>33.43</v>
      </c>
      <c r="G447">
        <v>198.8</v>
      </c>
      <c r="H447">
        <v>47.64</v>
      </c>
      <c r="I447">
        <v>8.36</v>
      </c>
      <c r="J447" t="s">
        <v>80</v>
      </c>
      <c r="K447" t="s">
        <v>19</v>
      </c>
      <c r="L447">
        <v>25.86</v>
      </c>
      <c r="M447" s="5">
        <v>45332</v>
      </c>
      <c r="N447" s="5">
        <v>45446</v>
      </c>
      <c r="O447" s="5" t="str">
        <f>TEXT(Table1[[#This Row],[harvest_date]],"mmmm")</f>
        <v>June</v>
      </c>
      <c r="P447">
        <v>114</v>
      </c>
      <c r="Q447">
        <v>4248.57</v>
      </c>
      <c r="R447" t="s">
        <v>960</v>
      </c>
      <c r="S447" s="5">
        <v>45393</v>
      </c>
      <c r="T447">
        <v>11.798491</v>
      </c>
      <c r="U447">
        <v>72.733126999999996</v>
      </c>
      <c r="V447">
        <v>0.57999999999999996</v>
      </c>
      <c r="W447" t="s">
        <v>30</v>
      </c>
      <c r="X447">
        <v>114</v>
      </c>
      <c r="Y447" t="s">
        <v>62</v>
      </c>
      <c r="Z447" t="s">
        <v>72</v>
      </c>
    </row>
    <row r="448" spans="1:26" x14ac:dyDescent="0.35">
      <c r="A448" t="s">
        <v>961</v>
      </c>
      <c r="B448" t="s">
        <v>4</v>
      </c>
      <c r="C448" t="s">
        <v>13</v>
      </c>
      <c r="D448">
        <v>10.45</v>
      </c>
      <c r="E448">
        <v>6.5</v>
      </c>
      <c r="F448">
        <v>29.51</v>
      </c>
      <c r="G448">
        <v>172.86</v>
      </c>
      <c r="H448">
        <v>86.28</v>
      </c>
      <c r="I448">
        <v>9.64</v>
      </c>
      <c r="J448" t="s">
        <v>80</v>
      </c>
      <c r="K448" t="s">
        <v>19</v>
      </c>
      <c r="L448">
        <v>27.03</v>
      </c>
      <c r="M448" s="5">
        <v>45370</v>
      </c>
      <c r="N448" s="5">
        <v>45464</v>
      </c>
      <c r="O448" s="5" t="str">
        <f>TEXT(Table1[[#This Row],[harvest_date]],"mmmm")</f>
        <v>June</v>
      </c>
      <c r="P448">
        <v>94</v>
      </c>
      <c r="Q448">
        <v>3635.15</v>
      </c>
      <c r="R448" t="s">
        <v>962</v>
      </c>
      <c r="S448" s="5">
        <v>45374</v>
      </c>
      <c r="T448">
        <v>34.811812000000003</v>
      </c>
      <c r="U448">
        <v>72.489549999999994</v>
      </c>
      <c r="V448">
        <v>0.86</v>
      </c>
      <c r="W448" t="s">
        <v>30</v>
      </c>
      <c r="X448">
        <v>94</v>
      </c>
      <c r="Y448" t="s">
        <v>62</v>
      </c>
      <c r="Z448" t="s">
        <v>72</v>
      </c>
    </row>
    <row r="449" spans="1:26" x14ac:dyDescent="0.35">
      <c r="A449" t="s">
        <v>963</v>
      </c>
      <c r="B449" t="s">
        <v>4</v>
      </c>
      <c r="C449" t="s">
        <v>11</v>
      </c>
      <c r="D449">
        <v>43.5</v>
      </c>
      <c r="E449">
        <v>7.04</v>
      </c>
      <c r="F449">
        <v>30.03</v>
      </c>
      <c r="G449">
        <v>137.13999999999999</v>
      </c>
      <c r="H449">
        <v>75.459999999999994</v>
      </c>
      <c r="I449">
        <v>7.81</v>
      </c>
      <c r="J449" t="s">
        <v>80</v>
      </c>
      <c r="K449" t="s">
        <v>17</v>
      </c>
      <c r="L449">
        <v>7.6</v>
      </c>
      <c r="M449" s="5">
        <v>45336</v>
      </c>
      <c r="N449" s="5">
        <v>45473</v>
      </c>
      <c r="O449" s="5" t="str">
        <f>TEXT(Table1[[#This Row],[harvest_date]],"mmmm")</f>
        <v>June</v>
      </c>
      <c r="P449">
        <v>137</v>
      </c>
      <c r="Q449">
        <v>2987.17</v>
      </c>
      <c r="R449" t="s">
        <v>964</v>
      </c>
      <c r="S449" s="5">
        <v>45458</v>
      </c>
      <c r="T449">
        <v>10.862689</v>
      </c>
      <c r="U449">
        <v>86.262528000000003</v>
      </c>
      <c r="V449">
        <v>0.68</v>
      </c>
      <c r="W449" t="s">
        <v>32</v>
      </c>
      <c r="X449">
        <v>137</v>
      </c>
      <c r="Y449" t="s">
        <v>71</v>
      </c>
      <c r="Z449" t="s">
        <v>63</v>
      </c>
    </row>
    <row r="450" spans="1:26" x14ac:dyDescent="0.35">
      <c r="A450" t="s">
        <v>965</v>
      </c>
      <c r="B450" t="s">
        <v>4</v>
      </c>
      <c r="C450" t="s">
        <v>14</v>
      </c>
      <c r="D450">
        <v>31.19</v>
      </c>
      <c r="E450">
        <v>7.39</v>
      </c>
      <c r="F450">
        <v>17.95</v>
      </c>
      <c r="G450">
        <v>111.85</v>
      </c>
      <c r="H450">
        <v>68.92</v>
      </c>
      <c r="I450">
        <v>7.98</v>
      </c>
      <c r="J450" t="s">
        <v>65</v>
      </c>
      <c r="K450" t="s">
        <v>18</v>
      </c>
      <c r="L450">
        <v>10.25</v>
      </c>
      <c r="M450" s="5">
        <v>45312</v>
      </c>
      <c r="N450" s="5">
        <v>45447</v>
      </c>
      <c r="O450" s="5" t="str">
        <f>TEXT(Table1[[#This Row],[harvest_date]],"mmmm")</f>
        <v>June</v>
      </c>
      <c r="P450">
        <v>135</v>
      </c>
      <c r="Q450">
        <v>5667.53</v>
      </c>
      <c r="R450" t="s">
        <v>966</v>
      </c>
      <c r="S450" s="5">
        <v>45413</v>
      </c>
      <c r="T450">
        <v>27.651744000000001</v>
      </c>
      <c r="U450">
        <v>89.482911999999999</v>
      </c>
      <c r="V450">
        <v>0.35</v>
      </c>
      <c r="W450" t="s">
        <v>30</v>
      </c>
      <c r="X450">
        <v>135</v>
      </c>
      <c r="Y450" t="s">
        <v>67</v>
      </c>
      <c r="Z450" t="s">
        <v>63</v>
      </c>
    </row>
    <row r="451" spans="1:26" x14ac:dyDescent="0.35">
      <c r="A451" t="s">
        <v>967</v>
      </c>
      <c r="B451" t="s">
        <v>5</v>
      </c>
      <c r="C451" t="s">
        <v>10</v>
      </c>
      <c r="D451">
        <v>39.04</v>
      </c>
      <c r="E451">
        <v>6.01</v>
      </c>
      <c r="F451">
        <v>21.04</v>
      </c>
      <c r="G451">
        <v>291.92</v>
      </c>
      <c r="H451">
        <v>72.92</v>
      </c>
      <c r="I451">
        <v>6.3</v>
      </c>
      <c r="J451" t="s">
        <v>80</v>
      </c>
      <c r="K451" t="s">
        <v>17</v>
      </c>
      <c r="L451">
        <v>23.52</v>
      </c>
      <c r="M451" s="5">
        <v>45379</v>
      </c>
      <c r="N451" s="5">
        <v>45474</v>
      </c>
      <c r="O451" s="5" t="str">
        <f>TEXT(Table1[[#This Row],[harvest_date]],"mmmm")</f>
        <v>July</v>
      </c>
      <c r="P451">
        <v>95</v>
      </c>
      <c r="Q451">
        <v>2437.1</v>
      </c>
      <c r="R451" t="s">
        <v>968</v>
      </c>
      <c r="S451" s="5">
        <v>45452</v>
      </c>
      <c r="T451">
        <v>29.417278</v>
      </c>
      <c r="U451">
        <v>76.887855999999999</v>
      </c>
      <c r="V451">
        <v>0.39</v>
      </c>
      <c r="W451" t="s">
        <v>30</v>
      </c>
      <c r="X451">
        <v>95</v>
      </c>
      <c r="Y451" t="s">
        <v>71</v>
      </c>
      <c r="Z451" t="s">
        <v>72</v>
      </c>
    </row>
    <row r="452" spans="1:26" x14ac:dyDescent="0.35">
      <c r="A452" t="s">
        <v>969</v>
      </c>
      <c r="B452" t="s">
        <v>5</v>
      </c>
      <c r="C452" t="s">
        <v>14</v>
      </c>
      <c r="D452">
        <v>10.220000000000001</v>
      </c>
      <c r="E452">
        <v>5.84</v>
      </c>
      <c r="F452">
        <v>24.83</v>
      </c>
      <c r="G452">
        <v>74.22</v>
      </c>
      <c r="H452">
        <v>78.69</v>
      </c>
      <c r="I452">
        <v>6.51</v>
      </c>
      <c r="J452" t="s">
        <v>32</v>
      </c>
      <c r="K452" t="s">
        <v>17</v>
      </c>
      <c r="L452">
        <v>17.98</v>
      </c>
      <c r="M452" s="5">
        <v>45328</v>
      </c>
      <c r="N452" s="5">
        <v>45429</v>
      </c>
      <c r="O452" s="5" t="str">
        <f>TEXT(Table1[[#This Row],[harvest_date]],"mmmm")</f>
        <v>May</v>
      </c>
      <c r="P452">
        <v>101</v>
      </c>
      <c r="Q452">
        <v>3498.61</v>
      </c>
      <c r="R452" t="s">
        <v>970</v>
      </c>
      <c r="S452" s="5">
        <v>45418</v>
      </c>
      <c r="T452">
        <v>13.358302</v>
      </c>
      <c r="U452">
        <v>79.729425000000006</v>
      </c>
      <c r="V452">
        <v>0.6</v>
      </c>
      <c r="W452" t="s">
        <v>32</v>
      </c>
      <c r="X452">
        <v>101</v>
      </c>
      <c r="Y452" t="s">
        <v>62</v>
      </c>
      <c r="Z452" t="s">
        <v>72</v>
      </c>
    </row>
    <row r="453" spans="1:26" x14ac:dyDescent="0.35">
      <c r="A453" t="s">
        <v>971</v>
      </c>
      <c r="B453" t="s">
        <v>5</v>
      </c>
      <c r="C453" t="s">
        <v>12</v>
      </c>
      <c r="D453">
        <v>38.5</v>
      </c>
      <c r="E453">
        <v>5.87</v>
      </c>
      <c r="F453">
        <v>16.18</v>
      </c>
      <c r="G453">
        <v>95.68</v>
      </c>
      <c r="H453">
        <v>77.959999999999994</v>
      </c>
      <c r="I453">
        <v>5.56</v>
      </c>
      <c r="J453" t="s">
        <v>32</v>
      </c>
      <c r="K453" t="s">
        <v>19</v>
      </c>
      <c r="L453">
        <v>33.21</v>
      </c>
      <c r="M453" s="5">
        <v>45355</v>
      </c>
      <c r="N453" s="5">
        <v>45500</v>
      </c>
      <c r="O453" s="5" t="str">
        <f>TEXT(Table1[[#This Row],[harvest_date]],"mmmm")</f>
        <v>July</v>
      </c>
      <c r="P453">
        <v>145</v>
      </c>
      <c r="Q453">
        <v>4545.7299999999996</v>
      </c>
      <c r="R453" t="s">
        <v>972</v>
      </c>
      <c r="S453" s="5">
        <v>45375</v>
      </c>
      <c r="T453">
        <v>17.328140000000001</v>
      </c>
      <c r="U453">
        <v>77.554570999999996</v>
      </c>
      <c r="V453">
        <v>0.47</v>
      </c>
      <c r="W453" t="s">
        <v>31</v>
      </c>
      <c r="X453">
        <v>145</v>
      </c>
      <c r="Y453" t="s">
        <v>62</v>
      </c>
      <c r="Z453" t="s">
        <v>72</v>
      </c>
    </row>
    <row r="454" spans="1:26" x14ac:dyDescent="0.35">
      <c r="A454" t="s">
        <v>973</v>
      </c>
      <c r="B454" t="s">
        <v>3</v>
      </c>
      <c r="C454" t="s">
        <v>12</v>
      </c>
      <c r="D454">
        <v>18.22</v>
      </c>
      <c r="E454">
        <v>6.47</v>
      </c>
      <c r="F454">
        <v>30.21</v>
      </c>
      <c r="G454">
        <v>52.38</v>
      </c>
      <c r="H454">
        <v>53.3</v>
      </c>
      <c r="I454">
        <v>9.73</v>
      </c>
      <c r="J454" t="s">
        <v>69</v>
      </c>
      <c r="K454" t="s">
        <v>18</v>
      </c>
      <c r="L454">
        <v>14.5</v>
      </c>
      <c r="M454" s="5">
        <v>45304</v>
      </c>
      <c r="N454" s="5">
        <v>45432</v>
      </c>
      <c r="O454" s="5" t="str">
        <f>TEXT(Table1[[#This Row],[harvest_date]],"mmmm")</f>
        <v>May</v>
      </c>
      <c r="P454">
        <v>128</v>
      </c>
      <c r="Q454">
        <v>4080.3</v>
      </c>
      <c r="R454" t="s">
        <v>974</v>
      </c>
      <c r="S454" s="5">
        <v>45372</v>
      </c>
      <c r="T454">
        <v>33.30321</v>
      </c>
      <c r="U454">
        <v>79.464635999999999</v>
      </c>
      <c r="V454">
        <v>0.5</v>
      </c>
      <c r="W454" t="s">
        <v>33</v>
      </c>
      <c r="X454">
        <v>128</v>
      </c>
      <c r="Y454" t="s">
        <v>62</v>
      </c>
      <c r="Z454" t="s">
        <v>63</v>
      </c>
    </row>
    <row r="455" spans="1:26" x14ac:dyDescent="0.35">
      <c r="A455" t="s">
        <v>975</v>
      </c>
      <c r="B455" t="s">
        <v>1</v>
      </c>
      <c r="C455" t="s">
        <v>14</v>
      </c>
      <c r="D455">
        <v>33.869999999999997</v>
      </c>
      <c r="E455">
        <v>6.19</v>
      </c>
      <c r="F455">
        <v>21.3</v>
      </c>
      <c r="G455">
        <v>109.9</v>
      </c>
      <c r="H455">
        <v>58.06</v>
      </c>
      <c r="I455">
        <v>6.39</v>
      </c>
      <c r="J455" t="s">
        <v>69</v>
      </c>
      <c r="K455" t="s">
        <v>19</v>
      </c>
      <c r="L455">
        <v>44.29</v>
      </c>
      <c r="M455" s="5">
        <v>45292</v>
      </c>
      <c r="N455" s="5">
        <v>45411</v>
      </c>
      <c r="O455" s="5" t="str">
        <f>TEXT(Table1[[#This Row],[harvest_date]],"mmmm")</f>
        <v>April</v>
      </c>
      <c r="P455">
        <v>119</v>
      </c>
      <c r="Q455">
        <v>5482.17</v>
      </c>
      <c r="R455" t="s">
        <v>976</v>
      </c>
      <c r="S455" s="5">
        <v>45343</v>
      </c>
      <c r="T455">
        <v>28.130504999999999</v>
      </c>
      <c r="U455">
        <v>87.759411</v>
      </c>
      <c r="V455">
        <v>0.38</v>
      </c>
      <c r="W455" t="s">
        <v>32</v>
      </c>
      <c r="X455">
        <v>119</v>
      </c>
      <c r="Y455" t="s">
        <v>67</v>
      </c>
      <c r="Z455" t="s">
        <v>82</v>
      </c>
    </row>
    <row r="456" spans="1:26" x14ac:dyDescent="0.35">
      <c r="A456" t="s">
        <v>977</v>
      </c>
      <c r="B456" t="s">
        <v>2</v>
      </c>
      <c r="C456" t="s">
        <v>14</v>
      </c>
      <c r="D456">
        <v>43.29</v>
      </c>
      <c r="E456">
        <v>7</v>
      </c>
      <c r="F456">
        <v>19.97</v>
      </c>
      <c r="G456">
        <v>162.97999999999999</v>
      </c>
      <c r="H456">
        <v>74.31</v>
      </c>
      <c r="I456">
        <v>9.2200000000000006</v>
      </c>
      <c r="J456" t="s">
        <v>32</v>
      </c>
      <c r="K456" t="s">
        <v>17</v>
      </c>
      <c r="L456">
        <v>13.46</v>
      </c>
      <c r="M456" s="5">
        <v>45378</v>
      </c>
      <c r="N456" s="5">
        <v>45488</v>
      </c>
      <c r="O456" s="5" t="str">
        <f>TEXT(Table1[[#This Row],[harvest_date]],"mmmm")</f>
        <v>July</v>
      </c>
      <c r="P456">
        <v>110</v>
      </c>
      <c r="Q456">
        <v>2066.52</v>
      </c>
      <c r="R456" t="s">
        <v>978</v>
      </c>
      <c r="S456" s="5">
        <v>45424</v>
      </c>
      <c r="T456">
        <v>31.835861999999999</v>
      </c>
      <c r="U456">
        <v>89.391952000000003</v>
      </c>
      <c r="V456">
        <v>0.74</v>
      </c>
      <c r="W456" t="s">
        <v>33</v>
      </c>
      <c r="X456">
        <v>110</v>
      </c>
      <c r="Y456" t="s">
        <v>71</v>
      </c>
      <c r="Z456" t="s">
        <v>63</v>
      </c>
    </row>
    <row r="457" spans="1:26" x14ac:dyDescent="0.35">
      <c r="A457" t="s">
        <v>979</v>
      </c>
      <c r="B457" t="s">
        <v>4</v>
      </c>
      <c r="C457" t="s">
        <v>12</v>
      </c>
      <c r="D457">
        <v>26.96</v>
      </c>
      <c r="E457">
        <v>6.98</v>
      </c>
      <c r="F457">
        <v>30.88</v>
      </c>
      <c r="G457">
        <v>137.08000000000001</v>
      </c>
      <c r="H457">
        <v>86.95</v>
      </c>
      <c r="I457">
        <v>9.65</v>
      </c>
      <c r="J457" t="s">
        <v>32</v>
      </c>
      <c r="K457" t="s">
        <v>17</v>
      </c>
      <c r="L457">
        <v>43.57</v>
      </c>
      <c r="M457" s="5">
        <v>45315</v>
      </c>
      <c r="N457" s="5">
        <v>45429</v>
      </c>
      <c r="O457" s="5" t="str">
        <f>TEXT(Table1[[#This Row],[harvest_date]],"mmmm")</f>
        <v>May</v>
      </c>
      <c r="P457">
        <v>114</v>
      </c>
      <c r="Q457">
        <v>3175.45</v>
      </c>
      <c r="R457" t="s">
        <v>980</v>
      </c>
      <c r="S457" s="5">
        <v>45339</v>
      </c>
      <c r="T457">
        <v>27.798549000000001</v>
      </c>
      <c r="U457">
        <v>87.397174000000007</v>
      </c>
      <c r="V457">
        <v>0.83</v>
      </c>
      <c r="W457" t="s">
        <v>32</v>
      </c>
      <c r="X457">
        <v>114</v>
      </c>
      <c r="Y457" t="s">
        <v>62</v>
      </c>
      <c r="Z457" t="s">
        <v>82</v>
      </c>
    </row>
    <row r="458" spans="1:26" x14ac:dyDescent="0.35">
      <c r="A458" t="s">
        <v>981</v>
      </c>
      <c r="B458" t="s">
        <v>4</v>
      </c>
      <c r="C458" t="s">
        <v>11</v>
      </c>
      <c r="D458">
        <v>37.89</v>
      </c>
      <c r="E458">
        <v>6.1</v>
      </c>
      <c r="F458">
        <v>28.46</v>
      </c>
      <c r="G458">
        <v>187.19</v>
      </c>
      <c r="H458">
        <v>83.74</v>
      </c>
      <c r="I458">
        <v>5.01</v>
      </c>
      <c r="J458" t="s">
        <v>32</v>
      </c>
      <c r="K458" t="s">
        <v>18</v>
      </c>
      <c r="L458">
        <v>26.7</v>
      </c>
      <c r="M458" s="5">
        <v>45359</v>
      </c>
      <c r="N458" s="5">
        <v>45464</v>
      </c>
      <c r="O458" s="5" t="str">
        <f>TEXT(Table1[[#This Row],[harvest_date]],"mmmm")</f>
        <v>June</v>
      </c>
      <c r="P458">
        <v>105</v>
      </c>
      <c r="Q458">
        <v>2846.56</v>
      </c>
      <c r="R458" t="s">
        <v>982</v>
      </c>
      <c r="S458" s="5">
        <v>45455</v>
      </c>
      <c r="T458">
        <v>33.605246999999999</v>
      </c>
      <c r="U458">
        <v>83.998180000000005</v>
      </c>
      <c r="V458">
        <v>0.36</v>
      </c>
      <c r="W458" t="s">
        <v>32</v>
      </c>
      <c r="X458">
        <v>105</v>
      </c>
      <c r="Y458" t="s">
        <v>71</v>
      </c>
      <c r="Z458" t="s">
        <v>72</v>
      </c>
    </row>
    <row r="459" spans="1:26" x14ac:dyDescent="0.35">
      <c r="A459" t="s">
        <v>983</v>
      </c>
      <c r="B459" t="s">
        <v>4</v>
      </c>
      <c r="C459" t="s">
        <v>14</v>
      </c>
      <c r="D459">
        <v>41.59</v>
      </c>
      <c r="E459">
        <v>7.03</v>
      </c>
      <c r="F459">
        <v>19.41</v>
      </c>
      <c r="G459">
        <v>114.41</v>
      </c>
      <c r="H459">
        <v>63.82</v>
      </c>
      <c r="I459">
        <v>9.39</v>
      </c>
      <c r="J459" t="s">
        <v>69</v>
      </c>
      <c r="K459" t="s">
        <v>17</v>
      </c>
      <c r="L459">
        <v>11.11</v>
      </c>
      <c r="M459" s="5">
        <v>45372</v>
      </c>
      <c r="N459" s="5">
        <v>45508</v>
      </c>
      <c r="O459" s="5" t="str">
        <f>TEXT(Table1[[#This Row],[harvest_date]],"mmmm")</f>
        <v>August</v>
      </c>
      <c r="P459">
        <v>136</v>
      </c>
      <c r="Q459">
        <v>3967.84</v>
      </c>
      <c r="R459" t="s">
        <v>984</v>
      </c>
      <c r="S459" s="5">
        <v>45457</v>
      </c>
      <c r="T459">
        <v>31.798514999999998</v>
      </c>
      <c r="U459">
        <v>88.635598999999999</v>
      </c>
      <c r="V459">
        <v>0.76</v>
      </c>
      <c r="W459" t="s">
        <v>32</v>
      </c>
      <c r="X459">
        <v>136</v>
      </c>
      <c r="Y459" t="s">
        <v>62</v>
      </c>
      <c r="Z459" t="s">
        <v>63</v>
      </c>
    </row>
    <row r="460" spans="1:26" x14ac:dyDescent="0.35">
      <c r="A460" t="s">
        <v>985</v>
      </c>
      <c r="B460" t="s">
        <v>1</v>
      </c>
      <c r="C460" t="s">
        <v>11</v>
      </c>
      <c r="D460">
        <v>41.86</v>
      </c>
      <c r="E460">
        <v>6.99</v>
      </c>
      <c r="F460">
        <v>29.5</v>
      </c>
      <c r="G460">
        <v>213.48</v>
      </c>
      <c r="H460">
        <v>79.25</v>
      </c>
      <c r="I460">
        <v>9.8000000000000007</v>
      </c>
      <c r="J460" t="s">
        <v>32</v>
      </c>
      <c r="K460" t="s">
        <v>18</v>
      </c>
      <c r="L460">
        <v>15.06</v>
      </c>
      <c r="M460" s="5">
        <v>45301</v>
      </c>
      <c r="N460" s="5">
        <v>45396</v>
      </c>
      <c r="O460" s="5" t="str">
        <f>TEXT(Table1[[#This Row],[harvest_date]],"mmmm")</f>
        <v>April</v>
      </c>
      <c r="P460">
        <v>95</v>
      </c>
      <c r="Q460">
        <v>2445.5300000000002</v>
      </c>
      <c r="R460" t="s">
        <v>986</v>
      </c>
      <c r="S460" s="5">
        <v>45344</v>
      </c>
      <c r="T460">
        <v>28.514530000000001</v>
      </c>
      <c r="U460">
        <v>88.744213000000002</v>
      </c>
      <c r="V460">
        <v>0.75</v>
      </c>
      <c r="W460" t="s">
        <v>32</v>
      </c>
      <c r="X460">
        <v>95</v>
      </c>
      <c r="Y460" t="s">
        <v>71</v>
      </c>
      <c r="Z460" t="s">
        <v>72</v>
      </c>
    </row>
    <row r="461" spans="1:26" x14ac:dyDescent="0.35">
      <c r="A461" t="s">
        <v>987</v>
      </c>
      <c r="B461" t="s">
        <v>2</v>
      </c>
      <c r="C461" t="s">
        <v>14</v>
      </c>
      <c r="D461">
        <v>14.46</v>
      </c>
      <c r="E461">
        <v>6.13</v>
      </c>
      <c r="F461">
        <v>22.6</v>
      </c>
      <c r="G461">
        <v>234.23</v>
      </c>
      <c r="H461">
        <v>55.54</v>
      </c>
      <c r="I461">
        <v>7.54</v>
      </c>
      <c r="J461" t="s">
        <v>65</v>
      </c>
      <c r="K461" t="s">
        <v>19</v>
      </c>
      <c r="L461">
        <v>49.09</v>
      </c>
      <c r="M461" s="5">
        <v>45347</v>
      </c>
      <c r="N461" s="5">
        <v>45460</v>
      </c>
      <c r="O461" s="5" t="str">
        <f>TEXT(Table1[[#This Row],[harvest_date]],"mmmm")</f>
        <v>June</v>
      </c>
      <c r="P461">
        <v>113</v>
      </c>
      <c r="Q461">
        <v>5190.07</v>
      </c>
      <c r="R461" t="s">
        <v>988</v>
      </c>
      <c r="S461" s="5">
        <v>45448</v>
      </c>
      <c r="T461">
        <v>13.157684</v>
      </c>
      <c r="U461">
        <v>83.274856</v>
      </c>
      <c r="V461">
        <v>0.65</v>
      </c>
      <c r="W461" t="s">
        <v>32</v>
      </c>
      <c r="X461">
        <v>113</v>
      </c>
      <c r="Y461" t="s">
        <v>67</v>
      </c>
      <c r="Z461" t="s">
        <v>82</v>
      </c>
    </row>
    <row r="462" spans="1:26" x14ac:dyDescent="0.35">
      <c r="A462" t="s">
        <v>989</v>
      </c>
      <c r="B462" t="s">
        <v>5</v>
      </c>
      <c r="C462" t="s">
        <v>13</v>
      </c>
      <c r="D462">
        <v>28.84</v>
      </c>
      <c r="E462">
        <v>6.42</v>
      </c>
      <c r="F462">
        <v>17.89</v>
      </c>
      <c r="G462">
        <v>285.72000000000003</v>
      </c>
      <c r="H462">
        <v>81.86</v>
      </c>
      <c r="I462">
        <v>7</v>
      </c>
      <c r="J462" t="s">
        <v>32</v>
      </c>
      <c r="K462" t="s">
        <v>18</v>
      </c>
      <c r="L462">
        <v>32.07</v>
      </c>
      <c r="M462" s="5">
        <v>45315</v>
      </c>
      <c r="N462" s="5">
        <v>45447</v>
      </c>
      <c r="O462" s="5" t="str">
        <f>TEXT(Table1[[#This Row],[harvest_date]],"mmmm")</f>
        <v>June</v>
      </c>
      <c r="P462">
        <v>132</v>
      </c>
      <c r="Q462">
        <v>5396.51</v>
      </c>
      <c r="R462" t="s">
        <v>990</v>
      </c>
      <c r="S462" s="5">
        <v>45323</v>
      </c>
      <c r="T462">
        <v>24.972007999999999</v>
      </c>
      <c r="U462">
        <v>76.177829000000003</v>
      </c>
      <c r="V462">
        <v>0.89</v>
      </c>
      <c r="W462" t="s">
        <v>32</v>
      </c>
      <c r="X462">
        <v>132</v>
      </c>
      <c r="Y462" t="s">
        <v>67</v>
      </c>
      <c r="Z462" t="s">
        <v>72</v>
      </c>
    </row>
    <row r="463" spans="1:26" x14ac:dyDescent="0.35">
      <c r="A463" t="s">
        <v>991</v>
      </c>
      <c r="B463" t="s">
        <v>1</v>
      </c>
      <c r="C463" t="s">
        <v>12</v>
      </c>
      <c r="D463">
        <v>26.74</v>
      </c>
      <c r="E463">
        <v>7.16</v>
      </c>
      <c r="F463">
        <v>24.9</v>
      </c>
      <c r="G463">
        <v>226.04</v>
      </c>
      <c r="H463">
        <v>58.84</v>
      </c>
      <c r="I463">
        <v>9.89</v>
      </c>
      <c r="J463" t="s">
        <v>80</v>
      </c>
      <c r="K463" t="s">
        <v>18</v>
      </c>
      <c r="L463">
        <v>42.25</v>
      </c>
      <c r="M463" s="5">
        <v>45319</v>
      </c>
      <c r="N463" s="5">
        <v>45455</v>
      </c>
      <c r="O463" s="5" t="str">
        <f>TEXT(Table1[[#This Row],[harvest_date]],"mmmm")</f>
        <v>June</v>
      </c>
      <c r="P463">
        <v>136</v>
      </c>
      <c r="Q463">
        <v>5737.73</v>
      </c>
      <c r="R463" t="s">
        <v>992</v>
      </c>
      <c r="S463" s="5">
        <v>45376</v>
      </c>
      <c r="T463">
        <v>27.510185</v>
      </c>
      <c r="U463">
        <v>71.051326000000003</v>
      </c>
      <c r="V463">
        <v>0.82</v>
      </c>
      <c r="W463" t="s">
        <v>30</v>
      </c>
      <c r="X463">
        <v>136</v>
      </c>
      <c r="Y463" t="s">
        <v>67</v>
      </c>
      <c r="Z463" t="s">
        <v>82</v>
      </c>
    </row>
    <row r="464" spans="1:26" x14ac:dyDescent="0.35">
      <c r="A464" t="s">
        <v>993</v>
      </c>
      <c r="B464" t="s">
        <v>5</v>
      </c>
      <c r="C464" t="s">
        <v>11</v>
      </c>
      <c r="D464">
        <v>20.47</v>
      </c>
      <c r="E464">
        <v>7.13</v>
      </c>
      <c r="F464">
        <v>33.25</v>
      </c>
      <c r="G464">
        <v>89.8</v>
      </c>
      <c r="H464">
        <v>41.08</v>
      </c>
      <c r="I464">
        <v>6.35</v>
      </c>
      <c r="J464" t="s">
        <v>32</v>
      </c>
      <c r="K464" t="s">
        <v>17</v>
      </c>
      <c r="L464">
        <v>26.3</v>
      </c>
      <c r="M464" s="5">
        <v>45347</v>
      </c>
      <c r="N464" s="5">
        <v>45462</v>
      </c>
      <c r="O464" s="5" t="str">
        <f>TEXT(Table1[[#This Row],[harvest_date]],"mmmm")</f>
        <v>June</v>
      </c>
      <c r="P464">
        <v>115</v>
      </c>
      <c r="Q464">
        <v>3564.25</v>
      </c>
      <c r="R464" t="s">
        <v>994</v>
      </c>
      <c r="S464" s="5">
        <v>45414</v>
      </c>
      <c r="T464">
        <v>28.168865</v>
      </c>
      <c r="U464">
        <v>75.647282000000004</v>
      </c>
      <c r="V464">
        <v>0.85</v>
      </c>
      <c r="W464" t="s">
        <v>33</v>
      </c>
      <c r="X464">
        <v>115</v>
      </c>
      <c r="Y464" t="s">
        <v>62</v>
      </c>
      <c r="Z464" t="s">
        <v>72</v>
      </c>
    </row>
    <row r="465" spans="1:26" x14ac:dyDescent="0.35">
      <c r="A465" t="s">
        <v>995</v>
      </c>
      <c r="B465" t="s">
        <v>3</v>
      </c>
      <c r="C465" t="s">
        <v>10</v>
      </c>
      <c r="D465">
        <v>21.32</v>
      </c>
      <c r="E465">
        <v>7.08</v>
      </c>
      <c r="F465">
        <v>32.32</v>
      </c>
      <c r="G465">
        <v>63.53</v>
      </c>
      <c r="H465">
        <v>86.73</v>
      </c>
      <c r="I465">
        <v>5.82</v>
      </c>
      <c r="J465" t="s">
        <v>65</v>
      </c>
      <c r="K465" t="s">
        <v>17</v>
      </c>
      <c r="L465">
        <v>11.19</v>
      </c>
      <c r="M465" s="5">
        <v>45367</v>
      </c>
      <c r="N465" s="5">
        <v>45475</v>
      </c>
      <c r="O465" s="5" t="str">
        <f>TEXT(Table1[[#This Row],[harvest_date]],"mmmm")</f>
        <v>July</v>
      </c>
      <c r="P465">
        <v>108</v>
      </c>
      <c r="Q465">
        <v>5588.87</v>
      </c>
      <c r="R465" t="s">
        <v>996</v>
      </c>
      <c r="S465" s="5">
        <v>45393</v>
      </c>
      <c r="T465">
        <v>15.453412</v>
      </c>
      <c r="U465">
        <v>84.967650000000006</v>
      </c>
      <c r="V465">
        <v>0.74</v>
      </c>
      <c r="W465" t="s">
        <v>32</v>
      </c>
      <c r="X465">
        <v>108</v>
      </c>
      <c r="Y465" t="s">
        <v>67</v>
      </c>
      <c r="Z465" t="s">
        <v>63</v>
      </c>
    </row>
    <row r="466" spans="1:26" x14ac:dyDescent="0.35">
      <c r="A466" t="s">
        <v>997</v>
      </c>
      <c r="B466" t="s">
        <v>1</v>
      </c>
      <c r="C466" t="s">
        <v>12</v>
      </c>
      <c r="D466">
        <v>13.57</v>
      </c>
      <c r="E466">
        <v>7.07</v>
      </c>
      <c r="F466">
        <v>32.17</v>
      </c>
      <c r="G466">
        <v>144.13999999999999</v>
      </c>
      <c r="H466">
        <v>89.14</v>
      </c>
      <c r="I466">
        <v>8.08</v>
      </c>
      <c r="J466" t="s">
        <v>65</v>
      </c>
      <c r="K466" t="s">
        <v>18</v>
      </c>
      <c r="L466">
        <v>9.32</v>
      </c>
      <c r="M466" s="5">
        <v>45328</v>
      </c>
      <c r="N466" s="5">
        <v>45478</v>
      </c>
      <c r="O466" s="5" t="str">
        <f>TEXT(Table1[[#This Row],[harvest_date]],"mmmm")</f>
        <v>July</v>
      </c>
      <c r="P466">
        <v>150</v>
      </c>
      <c r="Q466">
        <v>2209.89</v>
      </c>
      <c r="R466" t="s">
        <v>998</v>
      </c>
      <c r="S466" s="5">
        <v>45459</v>
      </c>
      <c r="T466">
        <v>26.252445000000002</v>
      </c>
      <c r="U466">
        <v>81.867847999999995</v>
      </c>
      <c r="V466">
        <v>0.88</v>
      </c>
      <c r="W466" t="s">
        <v>33</v>
      </c>
      <c r="X466">
        <v>150</v>
      </c>
      <c r="Y466" t="s">
        <v>71</v>
      </c>
      <c r="Z466" t="s">
        <v>63</v>
      </c>
    </row>
    <row r="467" spans="1:26" x14ac:dyDescent="0.35">
      <c r="A467" t="s">
        <v>999</v>
      </c>
      <c r="B467" t="s">
        <v>4</v>
      </c>
      <c r="C467" t="s">
        <v>13</v>
      </c>
      <c r="D467">
        <v>14.16</v>
      </c>
      <c r="E467">
        <v>6.29</v>
      </c>
      <c r="F467">
        <v>21.05</v>
      </c>
      <c r="G467">
        <v>199.04</v>
      </c>
      <c r="H467">
        <v>48.62</v>
      </c>
      <c r="I467">
        <v>8.4700000000000006</v>
      </c>
      <c r="J467" t="s">
        <v>69</v>
      </c>
      <c r="K467" t="s">
        <v>19</v>
      </c>
      <c r="L467">
        <v>43.92</v>
      </c>
      <c r="M467" s="5">
        <v>45364</v>
      </c>
      <c r="N467" s="5">
        <v>45471</v>
      </c>
      <c r="O467" s="5" t="str">
        <f>TEXT(Table1[[#This Row],[harvest_date]],"mmmm")</f>
        <v>June</v>
      </c>
      <c r="P467">
        <v>107</v>
      </c>
      <c r="Q467">
        <v>4529.33</v>
      </c>
      <c r="R467" t="s">
        <v>1000</v>
      </c>
      <c r="S467" s="5">
        <v>45420</v>
      </c>
      <c r="T467">
        <v>19.183076</v>
      </c>
      <c r="U467">
        <v>72.400008</v>
      </c>
      <c r="V467">
        <v>0.35</v>
      </c>
      <c r="W467" t="s">
        <v>33</v>
      </c>
      <c r="X467">
        <v>107</v>
      </c>
      <c r="Y467" t="s">
        <v>62</v>
      </c>
      <c r="Z467" t="s">
        <v>82</v>
      </c>
    </row>
    <row r="468" spans="1:26" x14ac:dyDescent="0.35">
      <c r="A468" t="s">
        <v>1001</v>
      </c>
      <c r="B468" t="s">
        <v>2</v>
      </c>
      <c r="C468" t="s">
        <v>10</v>
      </c>
      <c r="D468">
        <v>10.81</v>
      </c>
      <c r="E468">
        <v>6.65</v>
      </c>
      <c r="F468">
        <v>26.45</v>
      </c>
      <c r="G468">
        <v>118.43</v>
      </c>
      <c r="H468">
        <v>77.27</v>
      </c>
      <c r="I468">
        <v>8.77</v>
      </c>
      <c r="J468" t="s">
        <v>65</v>
      </c>
      <c r="K468" t="s">
        <v>19</v>
      </c>
      <c r="L468">
        <v>26.79</v>
      </c>
      <c r="M468" s="5">
        <v>45374</v>
      </c>
      <c r="N468" s="5">
        <v>45491</v>
      </c>
      <c r="O468" s="5" t="str">
        <f>TEXT(Table1[[#This Row],[harvest_date]],"mmmm")</f>
        <v>July</v>
      </c>
      <c r="P468">
        <v>117</v>
      </c>
      <c r="Q468">
        <v>3193.45</v>
      </c>
      <c r="R468" t="s">
        <v>1002</v>
      </c>
      <c r="S468" s="5">
        <v>45390</v>
      </c>
      <c r="T468">
        <v>12.486031000000001</v>
      </c>
      <c r="U468">
        <v>71.269965999999997</v>
      </c>
      <c r="V468">
        <v>0.85</v>
      </c>
      <c r="W468" t="s">
        <v>30</v>
      </c>
      <c r="X468">
        <v>117</v>
      </c>
      <c r="Y468" t="s">
        <v>62</v>
      </c>
      <c r="Z468" t="s">
        <v>72</v>
      </c>
    </row>
    <row r="469" spans="1:26" x14ac:dyDescent="0.35">
      <c r="A469" t="s">
        <v>1003</v>
      </c>
      <c r="B469" t="s">
        <v>5</v>
      </c>
      <c r="C469" t="s">
        <v>13</v>
      </c>
      <c r="D469">
        <v>23.78</v>
      </c>
      <c r="E469">
        <v>7.13</v>
      </c>
      <c r="F469">
        <v>30.67</v>
      </c>
      <c r="G469">
        <v>182.52</v>
      </c>
      <c r="H469">
        <v>43.2</v>
      </c>
      <c r="I469">
        <v>9.02</v>
      </c>
      <c r="J469" t="s">
        <v>69</v>
      </c>
      <c r="K469" t="s">
        <v>18</v>
      </c>
      <c r="L469">
        <v>48.46</v>
      </c>
      <c r="M469" s="5">
        <v>45297</v>
      </c>
      <c r="N469" s="5">
        <v>45442</v>
      </c>
      <c r="O469" s="5" t="str">
        <f>TEXT(Table1[[#This Row],[harvest_date]],"mmmm")</f>
        <v>May</v>
      </c>
      <c r="P469">
        <v>145</v>
      </c>
      <c r="Q469">
        <v>4396.41</v>
      </c>
      <c r="R469" t="s">
        <v>1004</v>
      </c>
      <c r="S469" s="5">
        <v>45343</v>
      </c>
      <c r="T469">
        <v>10.133100000000001</v>
      </c>
      <c r="U469">
        <v>78.944658000000004</v>
      </c>
      <c r="V469">
        <v>0.49</v>
      </c>
      <c r="W469" t="s">
        <v>32</v>
      </c>
      <c r="X469">
        <v>145</v>
      </c>
      <c r="Y469" t="s">
        <v>62</v>
      </c>
      <c r="Z469" t="s">
        <v>82</v>
      </c>
    </row>
    <row r="470" spans="1:26" x14ac:dyDescent="0.35">
      <c r="A470" t="s">
        <v>1005</v>
      </c>
      <c r="B470" t="s">
        <v>4</v>
      </c>
      <c r="C470" t="s">
        <v>12</v>
      </c>
      <c r="D470">
        <v>17.22</v>
      </c>
      <c r="E470">
        <v>5.82</v>
      </c>
      <c r="F470">
        <v>26.25</v>
      </c>
      <c r="G470">
        <v>262.86</v>
      </c>
      <c r="H470">
        <v>41.75</v>
      </c>
      <c r="I470">
        <v>9.8800000000000008</v>
      </c>
      <c r="J470" t="s">
        <v>80</v>
      </c>
      <c r="K470" t="s">
        <v>19</v>
      </c>
      <c r="L470">
        <v>48.48</v>
      </c>
      <c r="M470" s="5">
        <v>45305</v>
      </c>
      <c r="N470" s="5">
        <v>45455</v>
      </c>
      <c r="O470" s="5" t="str">
        <f>TEXT(Table1[[#This Row],[harvest_date]],"mmmm")</f>
        <v>June</v>
      </c>
      <c r="P470">
        <v>150</v>
      </c>
      <c r="Q470">
        <v>4632.6400000000003</v>
      </c>
      <c r="R470" t="s">
        <v>1006</v>
      </c>
      <c r="S470" s="5">
        <v>45368</v>
      </c>
      <c r="T470">
        <v>17.514999</v>
      </c>
      <c r="U470">
        <v>88.924291999999994</v>
      </c>
      <c r="V470">
        <v>0.61</v>
      </c>
      <c r="W470" t="s">
        <v>31</v>
      </c>
      <c r="X470">
        <v>150</v>
      </c>
      <c r="Y470" t="s">
        <v>62</v>
      </c>
      <c r="Z470" t="s">
        <v>82</v>
      </c>
    </row>
    <row r="471" spans="1:26" x14ac:dyDescent="0.35">
      <c r="A471" t="s">
        <v>1007</v>
      </c>
      <c r="B471" t="s">
        <v>2</v>
      </c>
      <c r="C471" t="s">
        <v>11</v>
      </c>
      <c r="D471">
        <v>14.89</v>
      </c>
      <c r="E471">
        <v>6.48</v>
      </c>
      <c r="F471">
        <v>21.26</v>
      </c>
      <c r="G471">
        <v>277.7</v>
      </c>
      <c r="H471">
        <v>89.84</v>
      </c>
      <c r="I471">
        <v>7.64</v>
      </c>
      <c r="J471" t="s">
        <v>65</v>
      </c>
      <c r="K471" t="s">
        <v>17</v>
      </c>
      <c r="L471">
        <v>9.4600000000000009</v>
      </c>
      <c r="M471" s="5">
        <v>45299</v>
      </c>
      <c r="N471" s="5">
        <v>45391</v>
      </c>
      <c r="O471" s="5" t="str">
        <f>TEXT(Table1[[#This Row],[harvest_date]],"mmmm")</f>
        <v>April</v>
      </c>
      <c r="P471">
        <v>92</v>
      </c>
      <c r="Q471">
        <v>2752.29</v>
      </c>
      <c r="R471" t="s">
        <v>1008</v>
      </c>
      <c r="S471" s="5">
        <v>45337</v>
      </c>
      <c r="T471">
        <v>31.402128999999999</v>
      </c>
      <c r="U471">
        <v>74.304259000000002</v>
      </c>
      <c r="V471">
        <v>0.38</v>
      </c>
      <c r="W471" t="s">
        <v>30</v>
      </c>
      <c r="X471">
        <v>92</v>
      </c>
      <c r="Y471" t="s">
        <v>71</v>
      </c>
      <c r="Z471" t="s">
        <v>63</v>
      </c>
    </row>
    <row r="472" spans="1:26" x14ac:dyDescent="0.35">
      <c r="A472" t="s">
        <v>1009</v>
      </c>
      <c r="B472" t="s">
        <v>2</v>
      </c>
      <c r="C472" t="s">
        <v>14</v>
      </c>
      <c r="D472">
        <v>19.71</v>
      </c>
      <c r="E472">
        <v>6.96</v>
      </c>
      <c r="F472">
        <v>23.44</v>
      </c>
      <c r="G472">
        <v>187.46</v>
      </c>
      <c r="H472">
        <v>53.03</v>
      </c>
      <c r="I472">
        <v>7.9</v>
      </c>
      <c r="J472" t="s">
        <v>65</v>
      </c>
      <c r="K472" t="s">
        <v>19</v>
      </c>
      <c r="L472">
        <v>25.52</v>
      </c>
      <c r="M472" s="5">
        <v>45344</v>
      </c>
      <c r="N472" s="5">
        <v>45461</v>
      </c>
      <c r="O472" s="5" t="str">
        <f>TEXT(Table1[[#This Row],[harvest_date]],"mmmm")</f>
        <v>June</v>
      </c>
      <c r="P472">
        <v>117</v>
      </c>
      <c r="Q472">
        <v>5760.8</v>
      </c>
      <c r="R472" t="s">
        <v>1010</v>
      </c>
      <c r="S472" s="5">
        <v>45362</v>
      </c>
      <c r="T472">
        <v>23.397608000000002</v>
      </c>
      <c r="U472">
        <v>71.411161000000007</v>
      </c>
      <c r="V472">
        <v>0.74</v>
      </c>
      <c r="W472" t="s">
        <v>30</v>
      </c>
      <c r="X472">
        <v>117</v>
      </c>
      <c r="Y472" t="s">
        <v>67</v>
      </c>
      <c r="Z472" t="s">
        <v>72</v>
      </c>
    </row>
    <row r="473" spans="1:26" x14ac:dyDescent="0.35">
      <c r="A473" t="s">
        <v>1011</v>
      </c>
      <c r="B473" t="s">
        <v>1</v>
      </c>
      <c r="C473" t="s">
        <v>12</v>
      </c>
      <c r="D473">
        <v>33.01</v>
      </c>
      <c r="E473">
        <v>7.14</v>
      </c>
      <c r="F473">
        <v>27.1</v>
      </c>
      <c r="G473">
        <v>154.91999999999999</v>
      </c>
      <c r="H473">
        <v>47.67</v>
      </c>
      <c r="I473">
        <v>9.9499999999999993</v>
      </c>
      <c r="J473" t="s">
        <v>32</v>
      </c>
      <c r="K473" t="s">
        <v>19</v>
      </c>
      <c r="L473">
        <v>6.17</v>
      </c>
      <c r="M473" s="5">
        <v>45359</v>
      </c>
      <c r="N473" s="5">
        <v>45453</v>
      </c>
      <c r="O473" s="5" t="str">
        <f>TEXT(Table1[[#This Row],[harvest_date]],"mmmm")</f>
        <v>June</v>
      </c>
      <c r="P473">
        <v>94</v>
      </c>
      <c r="Q473">
        <v>3080.5</v>
      </c>
      <c r="R473" t="s">
        <v>1012</v>
      </c>
      <c r="S473" s="5">
        <v>45427</v>
      </c>
      <c r="T473">
        <v>12.749753</v>
      </c>
      <c r="U473">
        <v>80.967376000000002</v>
      </c>
      <c r="V473">
        <v>0.34</v>
      </c>
      <c r="W473" t="s">
        <v>32</v>
      </c>
      <c r="X473">
        <v>94</v>
      </c>
      <c r="Y473" t="s">
        <v>62</v>
      </c>
      <c r="Z473" t="s">
        <v>63</v>
      </c>
    </row>
    <row r="474" spans="1:26" x14ac:dyDescent="0.35">
      <c r="A474" t="s">
        <v>1013</v>
      </c>
      <c r="B474" t="s">
        <v>1</v>
      </c>
      <c r="C474" t="s">
        <v>14</v>
      </c>
      <c r="D474">
        <v>37.229999999999997</v>
      </c>
      <c r="E474">
        <v>5.79</v>
      </c>
      <c r="F474">
        <v>30.96</v>
      </c>
      <c r="G474">
        <v>118.41</v>
      </c>
      <c r="H474">
        <v>44.9</v>
      </c>
      <c r="I474">
        <v>9.8800000000000008</v>
      </c>
      <c r="J474" t="s">
        <v>65</v>
      </c>
      <c r="K474" t="s">
        <v>19</v>
      </c>
      <c r="L474">
        <v>47.83</v>
      </c>
      <c r="M474" s="5">
        <v>45297</v>
      </c>
      <c r="N474" s="5">
        <v>45420</v>
      </c>
      <c r="O474" s="5" t="str">
        <f>TEXT(Table1[[#This Row],[harvest_date]],"mmmm")</f>
        <v>May</v>
      </c>
      <c r="P474">
        <v>123</v>
      </c>
      <c r="Q474">
        <v>4913.3100000000004</v>
      </c>
      <c r="R474" t="s">
        <v>1014</v>
      </c>
      <c r="S474" s="5">
        <v>45336</v>
      </c>
      <c r="T474">
        <v>24.720676000000001</v>
      </c>
      <c r="U474">
        <v>86.135963000000004</v>
      </c>
      <c r="V474">
        <v>0.36</v>
      </c>
      <c r="W474" t="s">
        <v>31</v>
      </c>
      <c r="X474">
        <v>123</v>
      </c>
      <c r="Y474" t="s">
        <v>62</v>
      </c>
      <c r="Z474" t="s">
        <v>82</v>
      </c>
    </row>
    <row r="475" spans="1:26" x14ac:dyDescent="0.35">
      <c r="A475" t="s">
        <v>1015</v>
      </c>
      <c r="B475" t="s">
        <v>2</v>
      </c>
      <c r="C475" t="s">
        <v>14</v>
      </c>
      <c r="D475">
        <v>29.3</v>
      </c>
      <c r="E475">
        <v>6.71</v>
      </c>
      <c r="F475">
        <v>32.93</v>
      </c>
      <c r="G475">
        <v>92.69</v>
      </c>
      <c r="H475">
        <v>87.33</v>
      </c>
      <c r="I475">
        <v>6.34</v>
      </c>
      <c r="J475" t="s">
        <v>80</v>
      </c>
      <c r="K475" t="s">
        <v>17</v>
      </c>
      <c r="L475">
        <v>35.5</v>
      </c>
      <c r="M475" s="5">
        <v>45369</v>
      </c>
      <c r="N475" s="5">
        <v>45497</v>
      </c>
      <c r="O475" s="5" t="str">
        <f>TEXT(Table1[[#This Row],[harvest_date]],"mmmm")</f>
        <v>July</v>
      </c>
      <c r="P475">
        <v>128</v>
      </c>
      <c r="Q475">
        <v>5528.08</v>
      </c>
      <c r="R475" t="s">
        <v>1016</v>
      </c>
      <c r="S475" s="5">
        <v>45472</v>
      </c>
      <c r="T475">
        <v>21.921547</v>
      </c>
      <c r="U475">
        <v>72.551444000000004</v>
      </c>
      <c r="V475">
        <v>0.31</v>
      </c>
      <c r="W475" t="s">
        <v>30</v>
      </c>
      <c r="X475">
        <v>128</v>
      </c>
      <c r="Y475" t="s">
        <v>67</v>
      </c>
      <c r="Z475" t="s">
        <v>72</v>
      </c>
    </row>
    <row r="476" spans="1:26" x14ac:dyDescent="0.35">
      <c r="A476" t="s">
        <v>1017</v>
      </c>
      <c r="B476" t="s">
        <v>4</v>
      </c>
      <c r="C476" t="s">
        <v>10</v>
      </c>
      <c r="D476">
        <v>23.26</v>
      </c>
      <c r="E476">
        <v>6.97</v>
      </c>
      <c r="F476">
        <v>16.059999999999999</v>
      </c>
      <c r="G476">
        <v>231.35</v>
      </c>
      <c r="H476">
        <v>88.72</v>
      </c>
      <c r="I476">
        <v>8.25</v>
      </c>
      <c r="J476" t="s">
        <v>65</v>
      </c>
      <c r="K476" t="s">
        <v>17</v>
      </c>
      <c r="L476">
        <v>32.39</v>
      </c>
      <c r="M476" s="5">
        <v>45366</v>
      </c>
      <c r="N476" s="5">
        <v>45467</v>
      </c>
      <c r="O476" s="5" t="str">
        <f>TEXT(Table1[[#This Row],[harvest_date]],"mmmm")</f>
        <v>June</v>
      </c>
      <c r="P476">
        <v>101</v>
      </c>
      <c r="Q476">
        <v>3755.84</v>
      </c>
      <c r="R476" t="s">
        <v>1018</v>
      </c>
      <c r="S476" s="5">
        <v>45411</v>
      </c>
      <c r="T476">
        <v>29.961722000000002</v>
      </c>
      <c r="U476">
        <v>80.044584999999998</v>
      </c>
      <c r="V476">
        <v>0.47</v>
      </c>
      <c r="W476" t="s">
        <v>33</v>
      </c>
      <c r="X476">
        <v>101</v>
      </c>
      <c r="Y476" t="s">
        <v>62</v>
      </c>
      <c r="Z476" t="s">
        <v>72</v>
      </c>
    </row>
    <row r="477" spans="1:26" x14ac:dyDescent="0.35">
      <c r="A477" t="s">
        <v>1019</v>
      </c>
      <c r="B477" t="s">
        <v>2</v>
      </c>
      <c r="C477" t="s">
        <v>10</v>
      </c>
      <c r="D477">
        <v>20.68</v>
      </c>
      <c r="E477">
        <v>7.22</v>
      </c>
      <c r="F477">
        <v>33.950000000000003</v>
      </c>
      <c r="G477">
        <v>151.63</v>
      </c>
      <c r="H477">
        <v>55.64</v>
      </c>
      <c r="I477">
        <v>4.54</v>
      </c>
      <c r="J477" t="s">
        <v>69</v>
      </c>
      <c r="K477" t="s">
        <v>18</v>
      </c>
      <c r="L477">
        <v>37.85</v>
      </c>
      <c r="M477" s="5">
        <v>45297</v>
      </c>
      <c r="N477" s="5">
        <v>45423</v>
      </c>
      <c r="O477" s="5" t="str">
        <f>TEXT(Table1[[#This Row],[harvest_date]],"mmmm")</f>
        <v>May</v>
      </c>
      <c r="P477">
        <v>126</v>
      </c>
      <c r="Q477">
        <v>2229.65</v>
      </c>
      <c r="R477" t="s">
        <v>1020</v>
      </c>
      <c r="S477" s="5">
        <v>45392</v>
      </c>
      <c r="T477">
        <v>17.146272</v>
      </c>
      <c r="U477">
        <v>88.59178</v>
      </c>
      <c r="V477">
        <v>0.79</v>
      </c>
      <c r="W477" t="s">
        <v>32</v>
      </c>
      <c r="X477">
        <v>126</v>
      </c>
      <c r="Y477" t="s">
        <v>71</v>
      </c>
      <c r="Z477" t="s">
        <v>72</v>
      </c>
    </row>
    <row r="478" spans="1:26" x14ac:dyDescent="0.35">
      <c r="A478" t="s">
        <v>1021</v>
      </c>
      <c r="B478" t="s">
        <v>5</v>
      </c>
      <c r="C478" t="s">
        <v>12</v>
      </c>
      <c r="D478">
        <v>42.64</v>
      </c>
      <c r="E478">
        <v>5.77</v>
      </c>
      <c r="F478">
        <v>24.96</v>
      </c>
      <c r="G478">
        <v>221.28</v>
      </c>
      <c r="H478">
        <v>73.84</v>
      </c>
      <c r="I478">
        <v>7.19</v>
      </c>
      <c r="J478" t="s">
        <v>69</v>
      </c>
      <c r="K478" t="s">
        <v>19</v>
      </c>
      <c r="L478">
        <v>5.63</v>
      </c>
      <c r="M478" s="5">
        <v>45318</v>
      </c>
      <c r="N478" s="5">
        <v>45455</v>
      </c>
      <c r="O478" s="5" t="str">
        <f>TEXT(Table1[[#This Row],[harvest_date]],"mmmm")</f>
        <v>June</v>
      </c>
      <c r="P478">
        <v>137</v>
      </c>
      <c r="Q478">
        <v>2029.16</v>
      </c>
      <c r="R478" t="s">
        <v>1022</v>
      </c>
      <c r="S478" s="5">
        <v>45426</v>
      </c>
      <c r="T478">
        <v>27.564793000000002</v>
      </c>
      <c r="U478">
        <v>84.993358999999998</v>
      </c>
      <c r="V478">
        <v>0.45</v>
      </c>
      <c r="W478" t="s">
        <v>32</v>
      </c>
      <c r="X478">
        <v>137</v>
      </c>
      <c r="Y478" t="s">
        <v>71</v>
      </c>
      <c r="Z478" t="s">
        <v>63</v>
      </c>
    </row>
    <row r="479" spans="1:26" x14ac:dyDescent="0.35">
      <c r="A479" t="s">
        <v>1023</v>
      </c>
      <c r="B479" t="s">
        <v>2</v>
      </c>
      <c r="C479" t="s">
        <v>11</v>
      </c>
      <c r="D479">
        <v>43.76</v>
      </c>
      <c r="E479">
        <v>6.85</v>
      </c>
      <c r="F479">
        <v>32.64</v>
      </c>
      <c r="G479">
        <v>180.88</v>
      </c>
      <c r="H479">
        <v>51.25</v>
      </c>
      <c r="I479">
        <v>4.45</v>
      </c>
      <c r="J479" t="s">
        <v>65</v>
      </c>
      <c r="K479" t="s">
        <v>17</v>
      </c>
      <c r="L479">
        <v>20.9</v>
      </c>
      <c r="M479" s="5">
        <v>45305</v>
      </c>
      <c r="N479" s="5">
        <v>45426</v>
      </c>
      <c r="O479" s="5" t="str">
        <f>TEXT(Table1[[#This Row],[harvest_date]],"mmmm")</f>
        <v>May</v>
      </c>
      <c r="P479">
        <v>121</v>
      </c>
      <c r="Q479">
        <v>3516.38</v>
      </c>
      <c r="R479" t="s">
        <v>1024</v>
      </c>
      <c r="S479" s="5">
        <v>45352</v>
      </c>
      <c r="T479">
        <v>34.243209999999998</v>
      </c>
      <c r="U479">
        <v>76.759172000000007</v>
      </c>
      <c r="V479">
        <v>0.71</v>
      </c>
      <c r="W479" t="s">
        <v>32</v>
      </c>
      <c r="X479">
        <v>121</v>
      </c>
      <c r="Y479" t="s">
        <v>62</v>
      </c>
      <c r="Z479" t="s">
        <v>72</v>
      </c>
    </row>
    <row r="480" spans="1:26" x14ac:dyDescent="0.35">
      <c r="A480" t="s">
        <v>1025</v>
      </c>
      <c r="B480" t="s">
        <v>1</v>
      </c>
      <c r="C480" t="s">
        <v>14</v>
      </c>
      <c r="D480">
        <v>26.91</v>
      </c>
      <c r="E480">
        <v>6.03</v>
      </c>
      <c r="F480">
        <v>15.04</v>
      </c>
      <c r="G480">
        <v>207.79</v>
      </c>
      <c r="H480">
        <v>59.68</v>
      </c>
      <c r="I480">
        <v>9.5399999999999991</v>
      </c>
      <c r="J480" t="s">
        <v>69</v>
      </c>
      <c r="K480" t="s">
        <v>19</v>
      </c>
      <c r="L480">
        <v>45.16</v>
      </c>
      <c r="M480" s="5">
        <v>45324</v>
      </c>
      <c r="N480" s="5">
        <v>45436</v>
      </c>
      <c r="O480" s="5" t="str">
        <f>TEXT(Table1[[#This Row],[harvest_date]],"mmmm")</f>
        <v>May</v>
      </c>
      <c r="P480">
        <v>112</v>
      </c>
      <c r="Q480">
        <v>2023.56</v>
      </c>
      <c r="R480" t="s">
        <v>1026</v>
      </c>
      <c r="S480" s="5">
        <v>45382</v>
      </c>
      <c r="T480">
        <v>18.213795000000001</v>
      </c>
      <c r="U480">
        <v>77.077855</v>
      </c>
      <c r="V480">
        <v>0.3</v>
      </c>
      <c r="W480" t="s">
        <v>30</v>
      </c>
      <c r="X480">
        <v>112</v>
      </c>
      <c r="Y480" t="s">
        <v>71</v>
      </c>
      <c r="Z480" t="s">
        <v>82</v>
      </c>
    </row>
    <row r="481" spans="1:26" x14ac:dyDescent="0.35">
      <c r="A481" t="s">
        <v>1027</v>
      </c>
      <c r="B481" t="s">
        <v>5</v>
      </c>
      <c r="C481" t="s">
        <v>14</v>
      </c>
      <c r="D481">
        <v>10.31</v>
      </c>
      <c r="E481">
        <v>6.36</v>
      </c>
      <c r="F481">
        <v>18.95</v>
      </c>
      <c r="G481">
        <v>182.27</v>
      </c>
      <c r="H481">
        <v>84.93</v>
      </c>
      <c r="I481">
        <v>6.46</v>
      </c>
      <c r="J481" t="s">
        <v>32</v>
      </c>
      <c r="K481" t="s">
        <v>18</v>
      </c>
      <c r="L481">
        <v>12</v>
      </c>
      <c r="M481" s="5">
        <v>45360</v>
      </c>
      <c r="N481" s="5">
        <v>45464</v>
      </c>
      <c r="O481" s="5" t="str">
        <f>TEXT(Table1[[#This Row],[harvest_date]],"mmmm")</f>
        <v>June</v>
      </c>
      <c r="P481">
        <v>104</v>
      </c>
      <c r="Q481">
        <v>3882.79</v>
      </c>
      <c r="R481" t="s">
        <v>1028</v>
      </c>
      <c r="S481" s="5">
        <v>45407</v>
      </c>
      <c r="T481">
        <v>17.482123999999999</v>
      </c>
      <c r="U481">
        <v>78.566828999999998</v>
      </c>
      <c r="V481">
        <v>0.41</v>
      </c>
      <c r="W481" t="s">
        <v>31</v>
      </c>
      <c r="X481">
        <v>104</v>
      </c>
      <c r="Y481" t="s">
        <v>62</v>
      </c>
      <c r="Z481" t="s">
        <v>63</v>
      </c>
    </row>
    <row r="482" spans="1:26" x14ac:dyDescent="0.35">
      <c r="A482" t="s">
        <v>1029</v>
      </c>
      <c r="B482" t="s">
        <v>3</v>
      </c>
      <c r="C482" t="s">
        <v>11</v>
      </c>
      <c r="D482">
        <v>32.97</v>
      </c>
      <c r="E482">
        <v>6.38</v>
      </c>
      <c r="F482">
        <v>17.8</v>
      </c>
      <c r="G482">
        <v>236.77</v>
      </c>
      <c r="H482">
        <v>40.29</v>
      </c>
      <c r="I482">
        <v>9.3000000000000007</v>
      </c>
      <c r="J482" t="s">
        <v>65</v>
      </c>
      <c r="K482" t="s">
        <v>18</v>
      </c>
      <c r="L482">
        <v>13.53</v>
      </c>
      <c r="M482" s="5">
        <v>45296</v>
      </c>
      <c r="N482" s="5">
        <v>45411</v>
      </c>
      <c r="O482" s="5" t="str">
        <f>TEXT(Table1[[#This Row],[harvest_date]],"mmmm")</f>
        <v>April</v>
      </c>
      <c r="P482">
        <v>115</v>
      </c>
      <c r="Q482">
        <v>3684.22</v>
      </c>
      <c r="R482" t="s">
        <v>1030</v>
      </c>
      <c r="S482" s="5">
        <v>45338</v>
      </c>
      <c r="T482">
        <v>32.524945000000002</v>
      </c>
      <c r="U482">
        <v>73.206249999999997</v>
      </c>
      <c r="V482">
        <v>0.42</v>
      </c>
      <c r="W482" t="s">
        <v>33</v>
      </c>
      <c r="X482">
        <v>115</v>
      </c>
      <c r="Y482" t="s">
        <v>62</v>
      </c>
      <c r="Z482" t="s">
        <v>63</v>
      </c>
    </row>
    <row r="483" spans="1:26" x14ac:dyDescent="0.35">
      <c r="A483" t="s">
        <v>1031</v>
      </c>
      <c r="B483" t="s">
        <v>1</v>
      </c>
      <c r="C483" t="s">
        <v>13</v>
      </c>
      <c r="D483">
        <v>24.74</v>
      </c>
      <c r="E483">
        <v>6.6</v>
      </c>
      <c r="F483">
        <v>31</v>
      </c>
      <c r="G483">
        <v>228.58</v>
      </c>
      <c r="H483">
        <v>56.24</v>
      </c>
      <c r="I483">
        <v>8.59</v>
      </c>
      <c r="J483" t="s">
        <v>32</v>
      </c>
      <c r="K483" t="s">
        <v>17</v>
      </c>
      <c r="L483">
        <v>37.67</v>
      </c>
      <c r="M483" s="5">
        <v>45378</v>
      </c>
      <c r="N483" s="5">
        <v>45520</v>
      </c>
      <c r="O483" s="5" t="str">
        <f>TEXT(Table1[[#This Row],[harvest_date]],"mmmm")</f>
        <v>August</v>
      </c>
      <c r="P483">
        <v>142</v>
      </c>
      <c r="Q483">
        <v>3555.39</v>
      </c>
      <c r="R483" t="s">
        <v>1032</v>
      </c>
      <c r="S483" s="5">
        <v>45406</v>
      </c>
      <c r="T483">
        <v>33.941965000000003</v>
      </c>
      <c r="U483">
        <v>85.854258999999999</v>
      </c>
      <c r="V483">
        <v>0.38</v>
      </c>
      <c r="W483" t="s">
        <v>31</v>
      </c>
      <c r="X483">
        <v>142</v>
      </c>
      <c r="Y483" t="s">
        <v>62</v>
      </c>
      <c r="Z483" t="s">
        <v>72</v>
      </c>
    </row>
    <row r="484" spans="1:26" x14ac:dyDescent="0.35">
      <c r="A484" t="s">
        <v>1033</v>
      </c>
      <c r="B484" t="s">
        <v>2</v>
      </c>
      <c r="C484" t="s">
        <v>13</v>
      </c>
      <c r="D484">
        <v>36.86</v>
      </c>
      <c r="E484">
        <v>5.97</v>
      </c>
      <c r="F484">
        <v>28.57</v>
      </c>
      <c r="G484">
        <v>135.54</v>
      </c>
      <c r="H484">
        <v>88.82</v>
      </c>
      <c r="I484">
        <v>8.42</v>
      </c>
      <c r="J484" t="s">
        <v>32</v>
      </c>
      <c r="K484" t="s">
        <v>19</v>
      </c>
      <c r="L484">
        <v>18.03</v>
      </c>
      <c r="M484" s="5">
        <v>45325</v>
      </c>
      <c r="N484" s="5">
        <v>45463</v>
      </c>
      <c r="O484" s="5" t="str">
        <f>TEXT(Table1[[#This Row],[harvest_date]],"mmmm")</f>
        <v>June</v>
      </c>
      <c r="P484">
        <v>138</v>
      </c>
      <c r="Q484">
        <v>3715.81</v>
      </c>
      <c r="R484" t="s">
        <v>1034</v>
      </c>
      <c r="S484" s="5">
        <v>45364</v>
      </c>
      <c r="T484">
        <v>28.231214000000001</v>
      </c>
      <c r="U484">
        <v>73.737205000000003</v>
      </c>
      <c r="V484">
        <v>0.47</v>
      </c>
      <c r="W484" t="s">
        <v>32</v>
      </c>
      <c r="X484">
        <v>138</v>
      </c>
      <c r="Y484" t="s">
        <v>62</v>
      </c>
      <c r="Z484" t="s">
        <v>72</v>
      </c>
    </row>
    <row r="485" spans="1:26" x14ac:dyDescent="0.35">
      <c r="A485" t="s">
        <v>1035</v>
      </c>
      <c r="B485" t="s">
        <v>1</v>
      </c>
      <c r="C485" t="s">
        <v>10</v>
      </c>
      <c r="D485">
        <v>33.32</v>
      </c>
      <c r="E485">
        <v>6.36</v>
      </c>
      <c r="F485">
        <v>24.48</v>
      </c>
      <c r="G485">
        <v>245.68</v>
      </c>
      <c r="H485">
        <v>45.15</v>
      </c>
      <c r="I485">
        <v>8.3800000000000008</v>
      </c>
      <c r="J485" t="s">
        <v>65</v>
      </c>
      <c r="K485" t="s">
        <v>18</v>
      </c>
      <c r="L485">
        <v>49.66</v>
      </c>
      <c r="M485" s="5">
        <v>45372</v>
      </c>
      <c r="N485" s="5">
        <v>45502</v>
      </c>
      <c r="O485" s="5" t="str">
        <f>TEXT(Table1[[#This Row],[harvest_date]],"mmmm")</f>
        <v>July</v>
      </c>
      <c r="P485">
        <v>130</v>
      </c>
      <c r="Q485">
        <v>2594.9</v>
      </c>
      <c r="R485" t="s">
        <v>1036</v>
      </c>
      <c r="S485" s="5">
        <v>45402</v>
      </c>
      <c r="T485">
        <v>13.307395</v>
      </c>
      <c r="U485">
        <v>70.767329000000004</v>
      </c>
      <c r="V485">
        <v>0.89</v>
      </c>
      <c r="W485" t="s">
        <v>30</v>
      </c>
      <c r="X485">
        <v>130</v>
      </c>
      <c r="Y485" t="s">
        <v>71</v>
      </c>
      <c r="Z485" t="s">
        <v>82</v>
      </c>
    </row>
    <row r="486" spans="1:26" x14ac:dyDescent="0.35">
      <c r="A486" t="s">
        <v>1037</v>
      </c>
      <c r="B486" t="s">
        <v>5</v>
      </c>
      <c r="C486" t="s">
        <v>13</v>
      </c>
      <c r="D486">
        <v>31.58</v>
      </c>
      <c r="E486">
        <v>5.68</v>
      </c>
      <c r="F486">
        <v>16.02</v>
      </c>
      <c r="G486">
        <v>151.82</v>
      </c>
      <c r="H486">
        <v>55.32</v>
      </c>
      <c r="I486">
        <v>7.8</v>
      </c>
      <c r="J486" t="s">
        <v>65</v>
      </c>
      <c r="K486" t="s">
        <v>18</v>
      </c>
      <c r="L486">
        <v>20.13</v>
      </c>
      <c r="M486" s="5">
        <v>45324</v>
      </c>
      <c r="N486" s="5">
        <v>45446</v>
      </c>
      <c r="O486" s="5" t="str">
        <f>TEXT(Table1[[#This Row],[harvest_date]],"mmmm")</f>
        <v>June</v>
      </c>
      <c r="P486">
        <v>122</v>
      </c>
      <c r="Q486">
        <v>3708.29</v>
      </c>
      <c r="R486" t="s">
        <v>1038</v>
      </c>
      <c r="S486" s="5">
        <v>45330</v>
      </c>
      <c r="T486">
        <v>17.607250000000001</v>
      </c>
      <c r="U486">
        <v>75.384922000000003</v>
      </c>
      <c r="V486">
        <v>0.47</v>
      </c>
      <c r="W486" t="s">
        <v>31</v>
      </c>
      <c r="X486">
        <v>122</v>
      </c>
      <c r="Y486" t="s">
        <v>62</v>
      </c>
      <c r="Z486" t="s">
        <v>72</v>
      </c>
    </row>
    <row r="487" spans="1:26" x14ac:dyDescent="0.35">
      <c r="A487" t="s">
        <v>1039</v>
      </c>
      <c r="B487" t="s">
        <v>5</v>
      </c>
      <c r="C487" t="s">
        <v>10</v>
      </c>
      <c r="D487">
        <v>21.19</v>
      </c>
      <c r="E487">
        <v>5.6</v>
      </c>
      <c r="F487">
        <v>15.82</v>
      </c>
      <c r="G487">
        <v>63.03</v>
      </c>
      <c r="H487">
        <v>77.239999999999995</v>
      </c>
      <c r="I487">
        <v>5.27</v>
      </c>
      <c r="J487" t="s">
        <v>32</v>
      </c>
      <c r="K487" t="s">
        <v>19</v>
      </c>
      <c r="L487">
        <v>45.88</v>
      </c>
      <c r="M487" s="5">
        <v>45305</v>
      </c>
      <c r="N487" s="5">
        <v>45406</v>
      </c>
      <c r="O487" s="5" t="str">
        <f>TEXT(Table1[[#This Row],[harvest_date]],"mmmm")</f>
        <v>April</v>
      </c>
      <c r="P487">
        <v>101</v>
      </c>
      <c r="Q487">
        <v>3009.05</v>
      </c>
      <c r="R487" t="s">
        <v>1040</v>
      </c>
      <c r="S487" s="5">
        <v>45367</v>
      </c>
      <c r="T487">
        <v>19.089531000000001</v>
      </c>
      <c r="U487">
        <v>76.087134000000006</v>
      </c>
      <c r="V487">
        <v>0.36</v>
      </c>
      <c r="W487" t="s">
        <v>32</v>
      </c>
      <c r="X487">
        <v>101</v>
      </c>
      <c r="Y487" t="s">
        <v>62</v>
      </c>
      <c r="Z487" t="s">
        <v>82</v>
      </c>
    </row>
    <row r="488" spans="1:26" x14ac:dyDescent="0.35">
      <c r="A488" t="s">
        <v>1041</v>
      </c>
      <c r="B488" t="s">
        <v>2</v>
      </c>
      <c r="C488" t="s">
        <v>10</v>
      </c>
      <c r="D488">
        <v>21.59</v>
      </c>
      <c r="E488">
        <v>6.98</v>
      </c>
      <c r="F488">
        <v>22.23</v>
      </c>
      <c r="G488">
        <v>244.7</v>
      </c>
      <c r="H488">
        <v>66.44</v>
      </c>
      <c r="I488">
        <v>6.23</v>
      </c>
      <c r="J488" t="s">
        <v>80</v>
      </c>
      <c r="K488" t="s">
        <v>18</v>
      </c>
      <c r="L488">
        <v>31.29</v>
      </c>
      <c r="M488" s="5">
        <v>45295</v>
      </c>
      <c r="N488" s="5">
        <v>45393</v>
      </c>
      <c r="O488" s="5" t="str">
        <f>TEXT(Table1[[#This Row],[harvest_date]],"mmmm")</f>
        <v>April</v>
      </c>
      <c r="P488">
        <v>98</v>
      </c>
      <c r="Q488">
        <v>4518.2299999999996</v>
      </c>
      <c r="R488" t="s">
        <v>1042</v>
      </c>
      <c r="S488" s="5">
        <v>45372</v>
      </c>
      <c r="T488">
        <v>13.008858999999999</v>
      </c>
      <c r="U488">
        <v>81.731228999999999</v>
      </c>
      <c r="V488">
        <v>0.85</v>
      </c>
      <c r="W488" t="s">
        <v>30</v>
      </c>
      <c r="X488">
        <v>98</v>
      </c>
      <c r="Y488" t="s">
        <v>62</v>
      </c>
      <c r="Z488" t="s">
        <v>72</v>
      </c>
    </row>
    <row r="489" spans="1:26" x14ac:dyDescent="0.35">
      <c r="A489" t="s">
        <v>1043</v>
      </c>
      <c r="B489" t="s">
        <v>4</v>
      </c>
      <c r="C489" t="s">
        <v>11</v>
      </c>
      <c r="D489">
        <v>42.39</v>
      </c>
      <c r="E489">
        <v>5.65</v>
      </c>
      <c r="F489">
        <v>25.93</v>
      </c>
      <c r="G489">
        <v>135.72</v>
      </c>
      <c r="H489">
        <v>76.27</v>
      </c>
      <c r="I489">
        <v>9.94</v>
      </c>
      <c r="J489" t="s">
        <v>65</v>
      </c>
      <c r="K489" t="s">
        <v>17</v>
      </c>
      <c r="L489">
        <v>37.43</v>
      </c>
      <c r="M489" s="5">
        <v>45296</v>
      </c>
      <c r="N489" s="5">
        <v>45398</v>
      </c>
      <c r="O489" s="5" t="str">
        <f>TEXT(Table1[[#This Row],[harvest_date]],"mmmm")</f>
        <v>April</v>
      </c>
      <c r="P489">
        <v>102</v>
      </c>
      <c r="Q489">
        <v>3672.85</v>
      </c>
      <c r="R489" t="s">
        <v>1044</v>
      </c>
      <c r="S489" s="5">
        <v>45387</v>
      </c>
      <c r="T489">
        <v>16.313137999999999</v>
      </c>
      <c r="U489">
        <v>87.541506999999996</v>
      </c>
      <c r="V489">
        <v>0.81</v>
      </c>
      <c r="W489" t="s">
        <v>31</v>
      </c>
      <c r="X489">
        <v>102</v>
      </c>
      <c r="Y489" t="s">
        <v>62</v>
      </c>
      <c r="Z489" t="s">
        <v>72</v>
      </c>
    </row>
    <row r="490" spans="1:26" x14ac:dyDescent="0.35">
      <c r="A490" t="s">
        <v>1045</v>
      </c>
      <c r="B490" t="s">
        <v>1</v>
      </c>
      <c r="C490" t="s">
        <v>11</v>
      </c>
      <c r="D490">
        <v>32.049999999999997</v>
      </c>
      <c r="E490">
        <v>5.73</v>
      </c>
      <c r="F490">
        <v>23.72</v>
      </c>
      <c r="G490">
        <v>170.71</v>
      </c>
      <c r="H490">
        <v>66.19</v>
      </c>
      <c r="I490">
        <v>9.7100000000000009</v>
      </c>
      <c r="J490" t="s">
        <v>69</v>
      </c>
      <c r="K490" t="s">
        <v>18</v>
      </c>
      <c r="L490">
        <v>31.96</v>
      </c>
      <c r="M490" s="5">
        <v>45356</v>
      </c>
      <c r="N490" s="5">
        <v>45464</v>
      </c>
      <c r="O490" s="5" t="str">
        <f>TEXT(Table1[[#This Row],[harvest_date]],"mmmm")</f>
        <v>June</v>
      </c>
      <c r="P490">
        <v>108</v>
      </c>
      <c r="Q490">
        <v>2181.7800000000002</v>
      </c>
      <c r="R490" t="s">
        <v>1046</v>
      </c>
      <c r="S490" s="5">
        <v>45428</v>
      </c>
      <c r="T490">
        <v>11.519835</v>
      </c>
      <c r="U490">
        <v>89.449479999999994</v>
      </c>
      <c r="V490">
        <v>0.41</v>
      </c>
      <c r="W490" t="s">
        <v>33</v>
      </c>
      <c r="X490">
        <v>108</v>
      </c>
      <c r="Y490" t="s">
        <v>71</v>
      </c>
      <c r="Z490" t="s">
        <v>72</v>
      </c>
    </row>
    <row r="491" spans="1:26" x14ac:dyDescent="0.35">
      <c r="A491" t="s">
        <v>1047</v>
      </c>
      <c r="B491" t="s">
        <v>5</v>
      </c>
      <c r="C491" t="s">
        <v>12</v>
      </c>
      <c r="D491">
        <v>40.46</v>
      </c>
      <c r="E491">
        <v>7.44</v>
      </c>
      <c r="F491">
        <v>18.309999999999999</v>
      </c>
      <c r="G491">
        <v>237.68</v>
      </c>
      <c r="H491">
        <v>59.21</v>
      </c>
      <c r="I491">
        <v>8.68</v>
      </c>
      <c r="J491" t="s">
        <v>32</v>
      </c>
      <c r="K491" t="s">
        <v>17</v>
      </c>
      <c r="L491">
        <v>17.22</v>
      </c>
      <c r="M491" s="5">
        <v>45292</v>
      </c>
      <c r="N491" s="5">
        <v>45392</v>
      </c>
      <c r="O491" s="5" t="str">
        <f>TEXT(Table1[[#This Row],[harvest_date]],"mmmm")</f>
        <v>April</v>
      </c>
      <c r="P491">
        <v>100</v>
      </c>
      <c r="Q491">
        <v>4287.59</v>
      </c>
      <c r="R491" t="s">
        <v>1048</v>
      </c>
      <c r="S491" s="5">
        <v>45367</v>
      </c>
      <c r="T491">
        <v>27.418043999999998</v>
      </c>
      <c r="U491">
        <v>87.583100000000002</v>
      </c>
      <c r="V491">
        <v>0.77</v>
      </c>
      <c r="W491" t="s">
        <v>33</v>
      </c>
      <c r="X491">
        <v>100</v>
      </c>
      <c r="Y491" t="s">
        <v>62</v>
      </c>
      <c r="Z491" t="s">
        <v>72</v>
      </c>
    </row>
    <row r="492" spans="1:26" x14ac:dyDescent="0.35">
      <c r="A492" t="s">
        <v>1049</v>
      </c>
      <c r="B492" t="s">
        <v>2</v>
      </c>
      <c r="C492" t="s">
        <v>12</v>
      </c>
      <c r="D492">
        <v>19.059999999999999</v>
      </c>
      <c r="E492">
        <v>7.2</v>
      </c>
      <c r="F492">
        <v>20.93</v>
      </c>
      <c r="G492">
        <v>117.13</v>
      </c>
      <c r="H492">
        <v>45.96</v>
      </c>
      <c r="I492">
        <v>5.34</v>
      </c>
      <c r="J492" t="s">
        <v>65</v>
      </c>
      <c r="K492" t="s">
        <v>19</v>
      </c>
      <c r="L492">
        <v>6.76</v>
      </c>
      <c r="M492" s="5">
        <v>45300</v>
      </c>
      <c r="N492" s="5">
        <v>45449</v>
      </c>
      <c r="O492" s="5" t="str">
        <f>TEXT(Table1[[#This Row],[harvest_date]],"mmmm")</f>
        <v>June</v>
      </c>
      <c r="P492">
        <v>149</v>
      </c>
      <c r="Q492">
        <v>2531.89</v>
      </c>
      <c r="R492" t="s">
        <v>1050</v>
      </c>
      <c r="S492" s="5">
        <v>45313</v>
      </c>
      <c r="T492">
        <v>26.060327999999998</v>
      </c>
      <c r="U492">
        <v>74.980160999999995</v>
      </c>
      <c r="V492">
        <v>0.79</v>
      </c>
      <c r="W492" t="s">
        <v>32</v>
      </c>
      <c r="X492">
        <v>149</v>
      </c>
      <c r="Y492" t="s">
        <v>71</v>
      </c>
      <c r="Z492" t="s">
        <v>63</v>
      </c>
    </row>
    <row r="493" spans="1:26" x14ac:dyDescent="0.35">
      <c r="A493" t="s">
        <v>1051</v>
      </c>
      <c r="B493" t="s">
        <v>3</v>
      </c>
      <c r="C493" t="s">
        <v>14</v>
      </c>
      <c r="D493">
        <v>32.14</v>
      </c>
      <c r="E493">
        <v>7.44</v>
      </c>
      <c r="F493">
        <v>21.49</v>
      </c>
      <c r="G493">
        <v>286.61</v>
      </c>
      <c r="H493">
        <v>84.2</v>
      </c>
      <c r="I493">
        <v>5.58</v>
      </c>
      <c r="J493" t="s">
        <v>65</v>
      </c>
      <c r="K493" t="s">
        <v>19</v>
      </c>
      <c r="L493">
        <v>45.43</v>
      </c>
      <c r="M493" s="5">
        <v>45333</v>
      </c>
      <c r="N493" s="5">
        <v>45426</v>
      </c>
      <c r="O493" s="5" t="str">
        <f>TEXT(Table1[[#This Row],[harvest_date]],"mmmm")</f>
        <v>May</v>
      </c>
      <c r="P493">
        <v>93</v>
      </c>
      <c r="Q493">
        <v>4503.82</v>
      </c>
      <c r="R493" t="s">
        <v>1052</v>
      </c>
      <c r="S493" s="5">
        <v>45334</v>
      </c>
      <c r="T493">
        <v>30.598295</v>
      </c>
      <c r="U493">
        <v>74.385592000000003</v>
      </c>
      <c r="V493">
        <v>0.88</v>
      </c>
      <c r="W493" t="s">
        <v>30</v>
      </c>
      <c r="X493">
        <v>93</v>
      </c>
      <c r="Y493" t="s">
        <v>62</v>
      </c>
      <c r="Z493" t="s">
        <v>82</v>
      </c>
    </row>
    <row r="494" spans="1:26" x14ac:dyDescent="0.35">
      <c r="A494" t="s">
        <v>1053</v>
      </c>
      <c r="B494" t="s">
        <v>1</v>
      </c>
      <c r="C494" t="s">
        <v>13</v>
      </c>
      <c r="D494">
        <v>28.81</v>
      </c>
      <c r="E494">
        <v>7.46</v>
      </c>
      <c r="F494">
        <v>30.56</v>
      </c>
      <c r="G494">
        <v>245.13</v>
      </c>
      <c r="H494">
        <v>45.32</v>
      </c>
      <c r="I494">
        <v>8.4700000000000006</v>
      </c>
      <c r="J494" t="s">
        <v>32</v>
      </c>
      <c r="K494" t="s">
        <v>17</v>
      </c>
      <c r="L494">
        <v>16.579999999999998</v>
      </c>
      <c r="M494" s="5">
        <v>45372</v>
      </c>
      <c r="N494" s="5">
        <v>45500</v>
      </c>
      <c r="O494" s="5" t="str">
        <f>TEXT(Table1[[#This Row],[harvest_date]],"mmmm")</f>
        <v>July</v>
      </c>
      <c r="P494">
        <v>128</v>
      </c>
      <c r="Q494">
        <v>4203.51</v>
      </c>
      <c r="R494" t="s">
        <v>1054</v>
      </c>
      <c r="S494" s="5">
        <v>45485</v>
      </c>
      <c r="T494">
        <v>15.515976</v>
      </c>
      <c r="U494">
        <v>75.375870000000006</v>
      </c>
      <c r="V494">
        <v>0.65</v>
      </c>
      <c r="W494" t="s">
        <v>33</v>
      </c>
      <c r="X494">
        <v>128</v>
      </c>
      <c r="Y494" t="s">
        <v>62</v>
      </c>
      <c r="Z494" t="s">
        <v>72</v>
      </c>
    </row>
    <row r="495" spans="1:26" x14ac:dyDescent="0.35">
      <c r="A495" t="s">
        <v>1055</v>
      </c>
      <c r="B495" t="s">
        <v>4</v>
      </c>
      <c r="C495" t="s">
        <v>11</v>
      </c>
      <c r="D495">
        <v>18.11</v>
      </c>
      <c r="E495">
        <v>6.95</v>
      </c>
      <c r="F495">
        <v>22.37</v>
      </c>
      <c r="G495">
        <v>275.54000000000002</v>
      </c>
      <c r="H495">
        <v>44.68</v>
      </c>
      <c r="I495">
        <v>5.09</v>
      </c>
      <c r="J495" t="s">
        <v>65</v>
      </c>
      <c r="K495" t="s">
        <v>18</v>
      </c>
      <c r="L495">
        <v>13.5</v>
      </c>
      <c r="M495" s="5">
        <v>45346</v>
      </c>
      <c r="N495" s="5">
        <v>45447</v>
      </c>
      <c r="O495" s="5" t="str">
        <f>TEXT(Table1[[#This Row],[harvest_date]],"mmmm")</f>
        <v>June</v>
      </c>
      <c r="P495">
        <v>101</v>
      </c>
      <c r="Q495">
        <v>4590.26</v>
      </c>
      <c r="R495" t="s">
        <v>1056</v>
      </c>
      <c r="S495" s="5">
        <v>45348</v>
      </c>
      <c r="T495">
        <v>17.754006</v>
      </c>
      <c r="U495">
        <v>87.705061000000001</v>
      </c>
      <c r="V495">
        <v>0.79</v>
      </c>
      <c r="W495" t="s">
        <v>30</v>
      </c>
      <c r="X495">
        <v>101</v>
      </c>
      <c r="Y495" t="s">
        <v>62</v>
      </c>
      <c r="Z495" t="s">
        <v>63</v>
      </c>
    </row>
    <row r="496" spans="1:26" x14ac:dyDescent="0.35">
      <c r="A496" t="s">
        <v>1057</v>
      </c>
      <c r="B496" t="s">
        <v>3</v>
      </c>
      <c r="C496" t="s">
        <v>10</v>
      </c>
      <c r="D496">
        <v>12.52</v>
      </c>
      <c r="E496">
        <v>5.99</v>
      </c>
      <c r="F496">
        <v>33.18</v>
      </c>
      <c r="G496">
        <v>292.60000000000002</v>
      </c>
      <c r="H496">
        <v>45.01</v>
      </c>
      <c r="I496">
        <v>7.16</v>
      </c>
      <c r="J496" t="s">
        <v>69</v>
      </c>
      <c r="K496" t="s">
        <v>17</v>
      </c>
      <c r="L496">
        <v>9.49</v>
      </c>
      <c r="M496" s="5">
        <v>45323</v>
      </c>
      <c r="N496" s="5">
        <v>45420</v>
      </c>
      <c r="O496" s="5" t="str">
        <f>TEXT(Table1[[#This Row],[harvest_date]],"mmmm")</f>
        <v>May</v>
      </c>
      <c r="P496">
        <v>97</v>
      </c>
      <c r="Q496">
        <v>5306.25</v>
      </c>
      <c r="R496" t="s">
        <v>1058</v>
      </c>
      <c r="S496" s="5">
        <v>45420</v>
      </c>
      <c r="T496">
        <v>30.762927999999999</v>
      </c>
      <c r="U496">
        <v>88.693555000000003</v>
      </c>
      <c r="V496">
        <v>0.38</v>
      </c>
      <c r="W496" t="s">
        <v>32</v>
      </c>
      <c r="X496">
        <v>97</v>
      </c>
      <c r="Y496" t="s">
        <v>67</v>
      </c>
      <c r="Z496" t="s">
        <v>63</v>
      </c>
    </row>
    <row r="497" spans="1:26" x14ac:dyDescent="0.35">
      <c r="A497" t="s">
        <v>1059</v>
      </c>
      <c r="B497" t="s">
        <v>1</v>
      </c>
      <c r="C497" t="s">
        <v>10</v>
      </c>
      <c r="D497">
        <v>42.85</v>
      </c>
      <c r="E497">
        <v>6.7</v>
      </c>
      <c r="F497">
        <v>30.85</v>
      </c>
      <c r="G497">
        <v>52.35</v>
      </c>
      <c r="H497">
        <v>79.58</v>
      </c>
      <c r="I497">
        <v>7.25</v>
      </c>
      <c r="J497" t="s">
        <v>80</v>
      </c>
      <c r="K497" t="s">
        <v>17</v>
      </c>
      <c r="L497">
        <v>8.82</v>
      </c>
      <c r="M497" s="5">
        <v>45307</v>
      </c>
      <c r="N497" s="5">
        <v>45445</v>
      </c>
      <c r="O497" s="5" t="str">
        <f>TEXT(Table1[[#This Row],[harvest_date]],"mmmm")</f>
        <v>June</v>
      </c>
      <c r="P497">
        <v>138</v>
      </c>
      <c r="Q497">
        <v>4251.3999999999996</v>
      </c>
      <c r="R497" t="s">
        <v>1060</v>
      </c>
      <c r="S497" s="5">
        <v>45420</v>
      </c>
      <c r="T497">
        <v>30.386623</v>
      </c>
      <c r="U497">
        <v>76.1477</v>
      </c>
      <c r="V497">
        <v>0.59</v>
      </c>
      <c r="W497" t="s">
        <v>30</v>
      </c>
      <c r="X497">
        <v>138</v>
      </c>
      <c r="Y497" t="s">
        <v>62</v>
      </c>
      <c r="Z497" t="s">
        <v>63</v>
      </c>
    </row>
    <row r="498" spans="1:26" x14ac:dyDescent="0.35">
      <c r="A498" t="s">
        <v>1061</v>
      </c>
      <c r="B498" t="s">
        <v>3</v>
      </c>
      <c r="C498" t="s">
        <v>12</v>
      </c>
      <c r="D498">
        <v>34.22</v>
      </c>
      <c r="E498">
        <v>6.75</v>
      </c>
      <c r="F498">
        <v>17.46</v>
      </c>
      <c r="G498">
        <v>256.23</v>
      </c>
      <c r="H498">
        <v>45.14</v>
      </c>
      <c r="I498">
        <v>5.78</v>
      </c>
      <c r="J498" t="s">
        <v>32</v>
      </c>
      <c r="K498" t="s">
        <v>18</v>
      </c>
      <c r="L498">
        <v>5.05</v>
      </c>
      <c r="M498" s="5">
        <v>45292</v>
      </c>
      <c r="N498" s="5">
        <v>45396</v>
      </c>
      <c r="O498" s="5" t="str">
        <f>TEXT(Table1[[#This Row],[harvest_date]],"mmmm")</f>
        <v>April</v>
      </c>
      <c r="P498">
        <v>104</v>
      </c>
      <c r="Q498">
        <v>3708.54</v>
      </c>
      <c r="R498" t="s">
        <v>1062</v>
      </c>
      <c r="S498" s="5">
        <v>45310</v>
      </c>
      <c r="T498">
        <v>18.832747999999999</v>
      </c>
      <c r="U498">
        <v>75.736924000000002</v>
      </c>
      <c r="V498">
        <v>0.85</v>
      </c>
      <c r="W498" t="s">
        <v>33</v>
      </c>
      <c r="X498">
        <v>104</v>
      </c>
      <c r="Y498" t="s">
        <v>62</v>
      </c>
      <c r="Z498" t="s">
        <v>63</v>
      </c>
    </row>
    <row r="499" spans="1:26" x14ac:dyDescent="0.35">
      <c r="A499" t="s">
        <v>1063</v>
      </c>
      <c r="B499" t="s">
        <v>3</v>
      </c>
      <c r="C499" t="s">
        <v>11</v>
      </c>
      <c r="D499">
        <v>15.93</v>
      </c>
      <c r="E499">
        <v>5.72</v>
      </c>
      <c r="F499">
        <v>17.03</v>
      </c>
      <c r="G499">
        <v>288.95999999999998</v>
      </c>
      <c r="H499">
        <v>57.87</v>
      </c>
      <c r="I499">
        <v>7.69</v>
      </c>
      <c r="J499" t="s">
        <v>69</v>
      </c>
      <c r="K499" t="s">
        <v>19</v>
      </c>
      <c r="L499">
        <v>46.55</v>
      </c>
      <c r="M499" s="5">
        <v>45293</v>
      </c>
      <c r="N499" s="5">
        <v>45421</v>
      </c>
      <c r="O499" s="5" t="str">
        <f>TEXT(Table1[[#This Row],[harvest_date]],"mmmm")</f>
        <v>May</v>
      </c>
      <c r="P499">
        <v>128</v>
      </c>
      <c r="Q499">
        <v>2604.41</v>
      </c>
      <c r="R499" t="s">
        <v>1064</v>
      </c>
      <c r="S499" s="5">
        <v>45402</v>
      </c>
      <c r="T499">
        <v>23.262015999999999</v>
      </c>
      <c r="U499">
        <v>81.992230000000006</v>
      </c>
      <c r="V499">
        <v>0.71</v>
      </c>
      <c r="W499" t="s">
        <v>30</v>
      </c>
      <c r="X499">
        <v>128</v>
      </c>
      <c r="Y499" t="s">
        <v>71</v>
      </c>
      <c r="Z499" t="s">
        <v>82</v>
      </c>
    </row>
    <row r="500" spans="1:26" x14ac:dyDescent="0.35">
      <c r="A500" t="s">
        <v>1065</v>
      </c>
      <c r="B500" t="s">
        <v>1</v>
      </c>
      <c r="C500" t="s">
        <v>12</v>
      </c>
      <c r="D500">
        <v>38.61</v>
      </c>
      <c r="E500">
        <v>6.2</v>
      </c>
      <c r="F500">
        <v>17.079999999999998</v>
      </c>
      <c r="G500">
        <v>279.06</v>
      </c>
      <c r="H500">
        <v>73.09</v>
      </c>
      <c r="I500">
        <v>9.6</v>
      </c>
      <c r="J500" t="s">
        <v>69</v>
      </c>
      <c r="K500" t="s">
        <v>18</v>
      </c>
      <c r="L500">
        <v>43.78</v>
      </c>
      <c r="M500" s="5">
        <v>45316</v>
      </c>
      <c r="N500" s="5">
        <v>45447</v>
      </c>
      <c r="O500" s="5" t="str">
        <f>TEXT(Table1[[#This Row],[harvest_date]],"mmmm")</f>
        <v>June</v>
      </c>
      <c r="P500">
        <v>131</v>
      </c>
      <c r="Q500">
        <v>2586.36</v>
      </c>
      <c r="R500" t="s">
        <v>1066</v>
      </c>
      <c r="S500" s="5">
        <v>45353</v>
      </c>
      <c r="T500">
        <v>19.764989</v>
      </c>
      <c r="U500">
        <v>84.426868999999996</v>
      </c>
      <c r="V500">
        <v>0.77</v>
      </c>
      <c r="W500" t="s">
        <v>33</v>
      </c>
      <c r="X500">
        <v>131</v>
      </c>
      <c r="Y500" t="s">
        <v>71</v>
      </c>
      <c r="Z500" t="s">
        <v>82</v>
      </c>
    </row>
    <row r="501" spans="1:26" x14ac:dyDescent="0.35">
      <c r="A501" t="s">
        <v>1067</v>
      </c>
      <c r="B501" t="s">
        <v>3</v>
      </c>
      <c r="C501" t="s">
        <v>13</v>
      </c>
      <c r="D501">
        <v>30.22</v>
      </c>
      <c r="E501">
        <v>7.42</v>
      </c>
      <c r="F501">
        <v>20.57</v>
      </c>
      <c r="G501">
        <v>72.61</v>
      </c>
      <c r="H501">
        <v>89.74</v>
      </c>
      <c r="I501">
        <v>5.09</v>
      </c>
      <c r="J501" t="s">
        <v>32</v>
      </c>
      <c r="K501" t="s">
        <v>19</v>
      </c>
      <c r="L501">
        <v>19.37</v>
      </c>
      <c r="M501" s="5">
        <v>45338</v>
      </c>
      <c r="N501" s="5">
        <v>45472</v>
      </c>
      <c r="O501" s="5" t="str">
        <f>TEXT(Table1[[#This Row],[harvest_date]],"mmmm")</f>
        <v>June</v>
      </c>
      <c r="P501">
        <v>134</v>
      </c>
      <c r="Q501">
        <v>5891.4</v>
      </c>
      <c r="R501" t="s">
        <v>1068</v>
      </c>
      <c r="S501" s="5">
        <v>45423</v>
      </c>
      <c r="T501">
        <v>13.455532</v>
      </c>
      <c r="U501">
        <v>88.880605000000003</v>
      </c>
      <c r="V501">
        <v>0.85</v>
      </c>
      <c r="W501" t="s">
        <v>33</v>
      </c>
      <c r="X501">
        <v>134</v>
      </c>
      <c r="Y501" t="s">
        <v>67</v>
      </c>
      <c r="Z501" t="s">
        <v>72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5"/>
  <sheetViews>
    <sheetView topLeftCell="A52" workbookViewId="0">
      <selection activeCell="B78" sqref="B78"/>
    </sheetView>
  </sheetViews>
  <sheetFormatPr defaultRowHeight="14.5" x14ac:dyDescent="0.35"/>
  <cols>
    <col min="1" max="1" width="12.36328125" customWidth="1"/>
    <col min="2" max="2" width="28.54296875" customWidth="1"/>
    <col min="3" max="3" width="9.81640625" bestFit="1" customWidth="1"/>
    <col min="5" max="5" width="15.81640625" customWidth="1"/>
    <col min="6" max="6" width="13.54296875" customWidth="1"/>
    <col min="7" max="7" width="8.54296875" customWidth="1"/>
    <col min="8" max="8" width="10.6328125" customWidth="1"/>
    <col min="9" max="9" width="17.90625" customWidth="1"/>
    <col min="10" max="10" width="8.54296875" customWidth="1"/>
  </cols>
  <sheetData>
    <row r="1" spans="1:2" x14ac:dyDescent="0.35">
      <c r="A1" s="1" t="s">
        <v>6</v>
      </c>
      <c r="B1" t="s">
        <v>1070</v>
      </c>
    </row>
    <row r="2" spans="1:2" x14ac:dyDescent="0.35">
      <c r="A2" s="2" t="s">
        <v>34</v>
      </c>
      <c r="B2" s="6">
        <v>4029.3260869565224</v>
      </c>
    </row>
    <row r="3" spans="1:2" x14ac:dyDescent="0.35">
      <c r="A3" s="2" t="s">
        <v>35</v>
      </c>
      <c r="B3" s="6">
        <v>4114.5992561983467</v>
      </c>
    </row>
    <row r="4" spans="1:2" x14ac:dyDescent="0.35">
      <c r="A4" s="2" t="s">
        <v>36</v>
      </c>
      <c r="B4" s="6">
        <v>3978.3579234972658</v>
      </c>
    </row>
    <row r="5" spans="1:2" x14ac:dyDescent="0.35">
      <c r="A5" s="2" t="s">
        <v>37</v>
      </c>
      <c r="B5" s="6">
        <v>3996.0225619834719</v>
      </c>
    </row>
    <row r="6" spans="1:2" x14ac:dyDescent="0.35">
      <c r="A6" s="2" t="s">
        <v>38</v>
      </c>
      <c r="B6" s="6">
        <v>4196.1975862068966</v>
      </c>
    </row>
    <row r="7" spans="1:2" x14ac:dyDescent="0.35">
      <c r="A7" s="2" t="s">
        <v>7</v>
      </c>
      <c r="B7" s="6">
        <v>4032.9269400000021</v>
      </c>
    </row>
    <row r="20" spans="1:2" x14ac:dyDescent="0.35">
      <c r="A20" s="1" t="s">
        <v>0</v>
      </c>
      <c r="B20" t="s">
        <v>15</v>
      </c>
    </row>
    <row r="22" spans="1:2" x14ac:dyDescent="0.35">
      <c r="A22" s="1" t="s">
        <v>6</v>
      </c>
      <c r="B22" t="s">
        <v>1071</v>
      </c>
    </row>
    <row r="23" spans="1:2" x14ac:dyDescent="0.35">
      <c r="A23" s="2" t="s">
        <v>11</v>
      </c>
      <c r="B23" s="3">
        <v>420039.53000000009</v>
      </c>
    </row>
    <row r="24" spans="1:2" x14ac:dyDescent="0.35">
      <c r="A24" s="2" t="s">
        <v>14</v>
      </c>
      <c r="B24" s="3">
        <v>442063.47999999992</v>
      </c>
    </row>
    <row r="25" spans="1:2" x14ac:dyDescent="0.35">
      <c r="A25" s="2" t="s">
        <v>10</v>
      </c>
      <c r="B25" s="3">
        <v>319486.76</v>
      </c>
    </row>
    <row r="26" spans="1:2" x14ac:dyDescent="0.35">
      <c r="A26" s="2" t="s">
        <v>12</v>
      </c>
      <c r="B26" s="3">
        <v>459735.92000000004</v>
      </c>
    </row>
    <row r="27" spans="1:2" x14ac:dyDescent="0.35">
      <c r="A27" s="2" t="s">
        <v>13</v>
      </c>
      <c r="B27" s="3">
        <v>375137.77999999997</v>
      </c>
    </row>
    <row r="28" spans="1:2" x14ac:dyDescent="0.35">
      <c r="A28" s="2" t="s">
        <v>7</v>
      </c>
      <c r="B28" s="3">
        <v>2016463.47</v>
      </c>
    </row>
    <row r="36" spans="1:2" x14ac:dyDescent="0.35">
      <c r="A36" s="1" t="s">
        <v>6</v>
      </c>
      <c r="B36" t="s">
        <v>1070</v>
      </c>
    </row>
    <row r="37" spans="1:2" x14ac:dyDescent="0.35">
      <c r="A37" s="2" t="s">
        <v>19</v>
      </c>
      <c r="B37" s="6">
        <v>4087.1228742514959</v>
      </c>
    </row>
    <row r="38" spans="1:2" x14ac:dyDescent="0.35">
      <c r="A38" s="2" t="s">
        <v>17</v>
      </c>
      <c r="B38" s="6">
        <v>3972.41497005988</v>
      </c>
    </row>
    <row r="39" spans="1:2" x14ac:dyDescent="0.35">
      <c r="A39" s="2" t="s">
        <v>18</v>
      </c>
      <c r="B39" s="6">
        <v>4039.2810240963863</v>
      </c>
    </row>
    <row r="40" spans="1:2" x14ac:dyDescent="0.35">
      <c r="A40" s="2" t="s">
        <v>7</v>
      </c>
      <c r="B40" s="6">
        <v>4032.9269399999989</v>
      </c>
    </row>
    <row r="53" spans="1:2" x14ac:dyDescent="0.35">
      <c r="A53" s="1" t="s">
        <v>6</v>
      </c>
      <c r="B53" t="s">
        <v>1070</v>
      </c>
    </row>
    <row r="54" spans="1:2" x14ac:dyDescent="0.35">
      <c r="A54" s="2" t="s">
        <v>1</v>
      </c>
      <c r="B54" s="7">
        <v>4013.0834862385345</v>
      </c>
    </row>
    <row r="55" spans="1:2" x14ac:dyDescent="0.35">
      <c r="A55" s="2" t="s">
        <v>2</v>
      </c>
      <c r="B55" s="7">
        <v>4053.18448598131</v>
      </c>
    </row>
    <row r="56" spans="1:2" x14ac:dyDescent="0.35">
      <c r="A56" s="2" t="s">
        <v>3</v>
      </c>
      <c r="B56" s="7">
        <v>3996.2216161616152</v>
      </c>
    </row>
    <row r="57" spans="1:2" x14ac:dyDescent="0.35">
      <c r="A57" s="2" t="s">
        <v>4</v>
      </c>
      <c r="B57" s="7">
        <v>4122.8846153846171</v>
      </c>
    </row>
    <row r="58" spans="1:2" x14ac:dyDescent="0.35">
      <c r="A58" s="2" t="s">
        <v>5</v>
      </c>
      <c r="B58" s="7">
        <v>3984.4488297872317</v>
      </c>
    </row>
    <row r="59" spans="1:2" x14ac:dyDescent="0.35">
      <c r="A59" s="2" t="s">
        <v>7</v>
      </c>
      <c r="B59" s="7">
        <v>4032.926940000003</v>
      </c>
    </row>
    <row r="70" spans="1:2" x14ac:dyDescent="0.35">
      <c r="A70" s="1" t="s">
        <v>6</v>
      </c>
      <c r="B70" t="s">
        <v>1070</v>
      </c>
    </row>
    <row r="71" spans="1:2" x14ac:dyDescent="0.35">
      <c r="A71" s="2" t="s">
        <v>30</v>
      </c>
      <c r="B71" s="6">
        <v>4089.8717599999986</v>
      </c>
    </row>
    <row r="72" spans="1:2" x14ac:dyDescent="0.35">
      <c r="A72" s="2" t="s">
        <v>31</v>
      </c>
      <c r="B72" s="6">
        <v>3915.9153571428574</v>
      </c>
    </row>
    <row r="73" spans="1:2" x14ac:dyDescent="0.35">
      <c r="A73" s="2" t="s">
        <v>32</v>
      </c>
      <c r="B73" s="6">
        <v>4082.6476153846161</v>
      </c>
    </row>
    <row r="74" spans="1:2" x14ac:dyDescent="0.35">
      <c r="A74" s="2" t="s">
        <v>33</v>
      </c>
      <c r="B74" s="6">
        <v>4029.3442857142877</v>
      </c>
    </row>
    <row r="75" spans="1:2" x14ac:dyDescent="0.35">
      <c r="A75" s="2" t="s">
        <v>7</v>
      </c>
      <c r="B75" s="6">
        <v>4032.9269400000007</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15"/>
  <sheetViews>
    <sheetView topLeftCell="A94" workbookViewId="0">
      <selection activeCell="M98" sqref="M98"/>
    </sheetView>
  </sheetViews>
  <sheetFormatPr defaultRowHeight="14.5" x14ac:dyDescent="0.35"/>
  <cols>
    <col min="1" max="1" width="12.36328125" customWidth="1"/>
    <col min="2" max="2" width="16.08984375" customWidth="1"/>
    <col min="3" max="3" width="6.81640625" customWidth="1"/>
    <col min="4" max="5" width="7.81640625" customWidth="1"/>
    <col min="6" max="6" width="6.81640625" customWidth="1"/>
    <col min="7" max="7" width="10.7265625" customWidth="1"/>
  </cols>
  <sheetData>
    <row r="2" spans="1:2" x14ac:dyDescent="0.35">
      <c r="A2" s="1" t="s">
        <v>6</v>
      </c>
      <c r="B2" t="s">
        <v>8</v>
      </c>
    </row>
    <row r="3" spans="1:2" x14ac:dyDescent="0.35">
      <c r="A3" s="2" t="s">
        <v>1</v>
      </c>
      <c r="B3" s="3">
        <v>437426.1</v>
      </c>
    </row>
    <row r="4" spans="1:2" x14ac:dyDescent="0.35">
      <c r="A4" s="2" t="s">
        <v>2</v>
      </c>
      <c r="B4" s="3">
        <v>433690.74</v>
      </c>
    </row>
    <row r="5" spans="1:2" x14ac:dyDescent="0.35">
      <c r="A5" s="2" t="s">
        <v>3</v>
      </c>
      <c r="B5" s="3">
        <v>395625.94</v>
      </c>
    </row>
    <row r="6" spans="1:2" x14ac:dyDescent="0.35">
      <c r="A6" s="2" t="s">
        <v>4</v>
      </c>
      <c r="B6" s="3">
        <v>375182.5</v>
      </c>
    </row>
    <row r="7" spans="1:2" x14ac:dyDescent="0.35">
      <c r="A7" s="2" t="s">
        <v>5</v>
      </c>
      <c r="B7" s="3">
        <v>374538.19</v>
      </c>
    </row>
    <row r="8" spans="1:2" x14ac:dyDescent="0.35">
      <c r="A8" s="2" t="s">
        <v>7</v>
      </c>
      <c r="B8" s="3">
        <v>2016463.47</v>
      </c>
    </row>
    <row r="22" spans="1:2" x14ac:dyDescent="0.35">
      <c r="A22" s="1" t="s">
        <v>0</v>
      </c>
      <c r="B22" t="s">
        <v>15</v>
      </c>
    </row>
    <row r="24" spans="1:2" x14ac:dyDescent="0.35">
      <c r="A24" s="1" t="s">
        <v>6</v>
      </c>
      <c r="B24" t="s">
        <v>8</v>
      </c>
    </row>
    <row r="25" spans="1:2" x14ac:dyDescent="0.35">
      <c r="A25" s="2" t="s">
        <v>11</v>
      </c>
      <c r="B25" s="3">
        <v>420039.53</v>
      </c>
    </row>
    <row r="26" spans="1:2" x14ac:dyDescent="0.35">
      <c r="A26" s="2" t="s">
        <v>14</v>
      </c>
      <c r="B26" s="3">
        <v>442063.48</v>
      </c>
    </row>
    <row r="27" spans="1:2" x14ac:dyDescent="0.35">
      <c r="A27" s="2" t="s">
        <v>10</v>
      </c>
      <c r="B27" s="3">
        <v>319486.76</v>
      </c>
    </row>
    <row r="28" spans="1:2" x14ac:dyDescent="0.35">
      <c r="A28" s="2" t="s">
        <v>12</v>
      </c>
      <c r="B28" s="3">
        <v>459735.92</v>
      </c>
    </row>
    <row r="29" spans="1:2" x14ac:dyDescent="0.35">
      <c r="A29" s="2" t="s">
        <v>13</v>
      </c>
      <c r="B29" s="3">
        <v>375137.78</v>
      </c>
    </row>
    <row r="30" spans="1:2" x14ac:dyDescent="0.35">
      <c r="A30" s="2" t="s">
        <v>7</v>
      </c>
      <c r="B30" s="3">
        <v>2016463.47</v>
      </c>
    </row>
    <row r="39" spans="1:2" x14ac:dyDescent="0.35">
      <c r="A39" s="1" t="s">
        <v>6</v>
      </c>
      <c r="B39" t="s">
        <v>20</v>
      </c>
    </row>
    <row r="40" spans="1:2" x14ac:dyDescent="0.35">
      <c r="A40" s="2" t="s">
        <v>19</v>
      </c>
      <c r="B40" s="3">
        <v>4087.12</v>
      </c>
    </row>
    <row r="41" spans="1:2" x14ac:dyDescent="0.35">
      <c r="A41" s="2" t="s">
        <v>17</v>
      </c>
      <c r="B41" s="3">
        <v>3972.41</v>
      </c>
    </row>
    <row r="42" spans="1:2" x14ac:dyDescent="0.35">
      <c r="A42" s="2" t="s">
        <v>18</v>
      </c>
      <c r="B42" s="3">
        <v>4039.28</v>
      </c>
    </row>
    <row r="43" spans="1:2" x14ac:dyDescent="0.35">
      <c r="A43" s="2" t="s">
        <v>7</v>
      </c>
      <c r="B43" s="3">
        <v>12098.81</v>
      </c>
    </row>
    <row r="57" spans="1:2" x14ac:dyDescent="0.35">
      <c r="A57" s="1" t="s">
        <v>6</v>
      </c>
      <c r="B57" t="s">
        <v>20</v>
      </c>
    </row>
    <row r="58" spans="1:2" x14ac:dyDescent="0.35">
      <c r="A58" s="2" t="s">
        <v>22</v>
      </c>
      <c r="B58" s="3">
        <v>4110.92</v>
      </c>
    </row>
    <row r="59" spans="1:2" x14ac:dyDescent="0.35">
      <c r="A59" s="2" t="s">
        <v>21</v>
      </c>
      <c r="B59" s="3">
        <v>4018.53</v>
      </c>
    </row>
    <row r="60" spans="1:2" x14ac:dyDescent="0.35">
      <c r="A60" s="2" t="s">
        <v>23</v>
      </c>
      <c r="B60" s="3">
        <v>3979.46</v>
      </c>
    </row>
    <row r="61" spans="1:2" x14ac:dyDescent="0.35">
      <c r="A61" s="2" t="s">
        <v>7</v>
      </c>
      <c r="B61" s="3">
        <v>12108.91</v>
      </c>
    </row>
    <row r="73" spans="1:2" x14ac:dyDescent="0.35">
      <c r="A73" s="1" t="s">
        <v>6</v>
      </c>
      <c r="B73" t="s">
        <v>20</v>
      </c>
    </row>
    <row r="74" spans="1:2" x14ac:dyDescent="0.35">
      <c r="A74" s="2" t="s">
        <v>24</v>
      </c>
      <c r="B74" s="3">
        <v>4029.33</v>
      </c>
    </row>
    <row r="75" spans="1:2" x14ac:dyDescent="0.35">
      <c r="A75" s="2" t="s">
        <v>28</v>
      </c>
      <c r="B75" s="3">
        <v>4196.2</v>
      </c>
    </row>
    <row r="76" spans="1:2" x14ac:dyDescent="0.35">
      <c r="A76" s="2" t="s">
        <v>27</v>
      </c>
      <c r="B76" s="3">
        <v>3996.02</v>
      </c>
    </row>
    <row r="77" spans="1:2" x14ac:dyDescent="0.35">
      <c r="A77" s="2" t="s">
        <v>26</v>
      </c>
      <c r="B77" s="3">
        <v>3978.36</v>
      </c>
    </row>
    <row r="78" spans="1:2" x14ac:dyDescent="0.35">
      <c r="A78" s="2" t="s">
        <v>25</v>
      </c>
      <c r="B78" s="3">
        <v>4114.6000000000004</v>
      </c>
    </row>
    <row r="79" spans="1:2" x14ac:dyDescent="0.35">
      <c r="A79" s="2" t="s">
        <v>7</v>
      </c>
      <c r="B79" s="3">
        <v>20314.510000000002</v>
      </c>
    </row>
    <row r="90" spans="1:2" x14ac:dyDescent="0.35">
      <c r="A90" s="1" t="s">
        <v>0</v>
      </c>
      <c r="B90" t="s">
        <v>15</v>
      </c>
    </row>
    <row r="92" spans="1:2" x14ac:dyDescent="0.35">
      <c r="A92" s="1" t="s">
        <v>6</v>
      </c>
      <c r="B92" t="s">
        <v>20</v>
      </c>
    </row>
    <row r="93" spans="1:2" x14ac:dyDescent="0.35">
      <c r="A93" s="2" t="s">
        <v>30</v>
      </c>
      <c r="B93" s="3">
        <v>20460.34</v>
      </c>
    </row>
    <row r="94" spans="1:2" x14ac:dyDescent="0.35">
      <c r="A94" s="2" t="s">
        <v>31</v>
      </c>
      <c r="B94" s="3">
        <v>19594.099999999999</v>
      </c>
    </row>
    <row r="95" spans="1:2" x14ac:dyDescent="0.35">
      <c r="A95" s="2" t="s">
        <v>32</v>
      </c>
      <c r="B95" s="3">
        <v>20340.71</v>
      </c>
    </row>
    <row r="96" spans="1:2" x14ac:dyDescent="0.35">
      <c r="A96" s="2" t="s">
        <v>33</v>
      </c>
      <c r="B96" s="3">
        <v>20154.89</v>
      </c>
    </row>
    <row r="97" spans="1:2" x14ac:dyDescent="0.35">
      <c r="A97" s="2" t="s">
        <v>7</v>
      </c>
      <c r="B97" s="3">
        <v>80550.040000000008</v>
      </c>
    </row>
    <row r="109" spans="1:2" x14ac:dyDescent="0.35">
      <c r="A109" s="1" t="s">
        <v>6</v>
      </c>
      <c r="B109" t="s">
        <v>20</v>
      </c>
    </row>
    <row r="110" spans="1:2" x14ac:dyDescent="0.35">
      <c r="A110" s="2" t="s">
        <v>34</v>
      </c>
      <c r="B110" s="3">
        <v>4029.33</v>
      </c>
    </row>
    <row r="111" spans="1:2" x14ac:dyDescent="0.35">
      <c r="A111" s="2" t="s">
        <v>35</v>
      </c>
      <c r="B111" s="3">
        <v>4114.6000000000004</v>
      </c>
    </row>
    <row r="112" spans="1:2" x14ac:dyDescent="0.35">
      <c r="A112" s="2" t="s">
        <v>36</v>
      </c>
      <c r="B112" s="3">
        <v>3978.36</v>
      </c>
    </row>
    <row r="113" spans="1:2" x14ac:dyDescent="0.35">
      <c r="A113" s="2" t="s">
        <v>37</v>
      </c>
      <c r="B113" s="3">
        <v>3996.02</v>
      </c>
    </row>
    <row r="114" spans="1:2" x14ac:dyDescent="0.35">
      <c r="A114" s="2" t="s">
        <v>38</v>
      </c>
      <c r="B114" s="3">
        <v>4196.2</v>
      </c>
    </row>
    <row r="115" spans="1:2" x14ac:dyDescent="0.35">
      <c r="A115" s="2" t="s">
        <v>7</v>
      </c>
      <c r="B115" s="3">
        <v>20314.510000000002</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opLeftCell="A13" workbookViewId="0">
      <selection activeCell="A61" sqref="A61"/>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40" zoomScaleNormal="40" workbookViewId="0">
      <selection activeCell="D74" sqref="D74"/>
    </sheetView>
  </sheetViews>
  <sheetFormatPr defaultRowHeight="14.5" x14ac:dyDescent="0.35"/>
  <cols>
    <col min="1" max="16384" width="8.7265625"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Chart</vt:lpstr>
      <vt:lpstr>chart_1</vt:lpstr>
      <vt:lpstr> Dashbo</vt:lpstr>
      <vt:lpstr>Dashboard </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2026-05-28T15:02:38Z</dcterms:created>
  <dcterms:modified xsi:type="dcterms:W3CDTF">2026-06-13T11:57:25Z</dcterms:modified>
</cp:coreProperties>
</file>